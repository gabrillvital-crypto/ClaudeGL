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rs de Clientes" sheetId="1" r:id="rId4"/>
    <sheet state="visible" name="Cadência por Tier" sheetId="2" r:id="rId5"/>
  </sheets>
  <definedNames/>
  <calcPr/>
  <extLst>
    <ext uri="GoogleSheetsCustomDataVersion2">
      <go:sheetsCustomData xmlns:go="http://customooxmlschemas.google.com/" r:id="rId6" roundtripDataChecksum="rHCmIv2TCvi5ArPjN5IKKTPy4lzkXw1FWKLzZZux5Es="/>
    </ext>
  </extLst>
</workbook>
</file>

<file path=xl/sharedStrings.xml><?xml version="1.0" encoding="utf-8"?>
<sst xmlns="http://schemas.openxmlformats.org/spreadsheetml/2006/main" count="142" uniqueCount="105">
  <si>
    <t>Gestão de Carteira  —  Uso Interno</t>
  </si>
  <si>
    <t>Classificação de Clientes por Tier — Carteira SRM 2026</t>
  </si>
  <si>
    <t>Critérios: Tier A ≥ R$5.000/mês  |  Tier B+ R$3.500–R$4.999 (ou estratégico)  |  Tier B R$2.000–R$3.499  |  Tier C &lt; R$2.000  |  Contratos anuais convertidos em MRR (÷ 12)</t>
  </si>
  <si>
    <t>MRR Total Carteira SRM</t>
  </si>
  <si>
    <t>Nº</t>
  </si>
  <si>
    <t>Cliente</t>
  </si>
  <si>
    <t>MRR / mês</t>
  </si>
  <si>
    <t>Tier</t>
  </si>
  <si>
    <t>Observação</t>
  </si>
  <si>
    <t>Tier A — Contas Estratégicas</t>
  </si>
  <si>
    <t>9 clientes</t>
  </si>
  <si>
    <t>MRR ≥ R$ 5.000/mês</t>
  </si>
  <si>
    <t>Alpargatas</t>
  </si>
  <si>
    <t>Tier A</t>
  </si>
  <si>
    <t>Supera Promo Serviços Temporários (Nestlé)</t>
  </si>
  <si>
    <t>Abril com R$44k pontual; MRR recorrente = R$10.302 Obs: valores variam de acordo com o mês</t>
  </si>
  <si>
    <t>Zurich Airport Brasil</t>
  </si>
  <si>
    <t>Contrato anual R$107.000 ÷ 12</t>
  </si>
  <si>
    <t>Vinci Airports</t>
  </si>
  <si>
    <t>Contrato anual R$93.000 ÷ 12</t>
  </si>
  <si>
    <t>CSU Digital</t>
  </si>
  <si>
    <t>Bom Futuro Agrícola</t>
  </si>
  <si>
    <t>ECTX S/A – Eucatex</t>
  </si>
  <si>
    <t>Unimed do Brasil (SOU)</t>
  </si>
  <si>
    <t>Unimed Brasil e Unimed Sou</t>
  </si>
  <si>
    <t>PDV Marketing Promocional (Nestlé)</t>
  </si>
  <si>
    <t>Grupo Nestlé — tratado como Tier A junto com Supera Promo</t>
  </si>
  <si>
    <t>Tier B+ — Alto Valor</t>
  </si>
  <si>
    <t>MRR R$ 3.500–R$ 4.999/mês (ou estratégico)</t>
  </si>
  <si>
    <t>Afonso Franca Engenharia</t>
  </si>
  <si>
    <t>Tier B+</t>
  </si>
  <si>
    <t>DATA Engenharia</t>
  </si>
  <si>
    <t>Geistlich Pharma do Brasil</t>
  </si>
  <si>
    <t>Associação Adventista Norte Brasileira</t>
  </si>
  <si>
    <t>Bunker One Combustíveis e Lubrificantes</t>
  </si>
  <si>
    <t>ISG – Instituto Sócrates Guanaes</t>
  </si>
  <si>
    <t>7 unidades: AME Pariquera-Açu · Amb. Med. Esp. SJC · CEAPSOL · Hosp. Doenças Tropicais · Hosp. Reg. SJC · Hosp. Reg. Litoral Norte · Hosp. Reg. Jorge Rossmann</t>
  </si>
  <si>
    <t>Dock Brasil Engenharia e Serviços</t>
  </si>
  <si>
    <t>Cielo</t>
  </si>
  <si>
    <t>Contrato anual R$41.402,88 ÷ 12 — mantido em B+ estrategicamente</t>
  </si>
  <si>
    <t>Cebrace</t>
  </si>
  <si>
    <t>Conglomerado de grande porte — elevado estrategicamente para B+</t>
  </si>
  <si>
    <t>Tier B — Médio Valor</t>
  </si>
  <si>
    <t>12 clientes</t>
  </si>
  <si>
    <t>MRR R$ 2.000–R$ 3.499/mês</t>
  </si>
  <si>
    <t>Fundição Alumetaf</t>
  </si>
  <si>
    <t>Tier B</t>
  </si>
  <si>
    <t>Soluções Terceirizadas</t>
  </si>
  <si>
    <t>Norskan Offshore</t>
  </si>
  <si>
    <t>Sabará Químicos e Ingredientes</t>
  </si>
  <si>
    <t>Premier Pet</t>
  </si>
  <si>
    <t>Tarkett</t>
  </si>
  <si>
    <t>Federação Paulista de Futebol</t>
  </si>
  <si>
    <t>Transportes Cavalinho</t>
  </si>
  <si>
    <t>Pacco</t>
  </si>
  <si>
    <t>Engesp</t>
  </si>
  <si>
    <t>Contrato anual R$27.000 ÷ 12</t>
  </si>
  <si>
    <t>BRG Suplementos Nutricionais</t>
  </si>
  <si>
    <t>Ponsse Latin America</t>
  </si>
  <si>
    <t>Tier C — Menor Ticket</t>
  </si>
  <si>
    <t>5 clientes</t>
  </si>
  <si>
    <t>MRR &lt; R$ 2.000/mês</t>
  </si>
  <si>
    <t>Unimed Campo Grande</t>
  </si>
  <si>
    <t>Tier C</t>
  </si>
  <si>
    <t>Asso Marítima Navegação</t>
  </si>
  <si>
    <t>Amboretto Bombas</t>
  </si>
  <si>
    <t>Unimed de Dourados</t>
  </si>
  <si>
    <t>Advtec Indústria e Comércio</t>
  </si>
  <si>
    <t>Modelo de Cadência  —  Uso Interno</t>
  </si>
  <si>
    <t>Modelo de Cadência por Tier — Carteira SRM Efcaz 2026</t>
  </si>
  <si>
    <t>Tier A ≥ R$5.000  |  Tier B+ R$3.500–R$4.999 (ou estratégico)  |  Tier B R$2.000–R$3.499  |  Tier C &lt; R$2.000</t>
  </si>
  <si>
    <t>Faixa MRR</t>
  </si>
  <si>
    <t>Clientes</t>
  </si>
  <si>
    <t>MRR Total</t>
  </si>
  <si>
    <t>Check-in</t>
  </si>
  <si>
    <t>QBR</t>
  </si>
  <si>
    <t>Canal Principal</t>
  </si>
  <si>
    <t>SLA Resposta</t>
  </si>
  <si>
    <t>Prazo p/ 1º Contato</t>
  </si>
  <si>
    <t>A – Estratégico</t>
  </si>
  <si>
    <t>≥ R$ 5.000/mês</t>
  </si>
  <si>
    <t>Mensal (call / presencial)</t>
  </si>
  <si>
    <t>Bimensal</t>
  </si>
  <si>
    <t>WhatsApp direto + E-mail</t>
  </si>
  <si>
    <t>Mesmo dia</t>
  </si>
  <si>
    <t>Maio/26</t>
  </si>
  <si>
    <t>B+ – Alto Valor</t>
  </si>
  <si>
    <t>R$ 3.500–R$ 4.999/mês *</t>
  </si>
  <si>
    <t>Mensal (call)</t>
  </si>
  <si>
    <t>Trimestral</t>
  </si>
  <si>
    <t>E-mail + WhatsApp</t>
  </si>
  <si>
    <t>24 horas</t>
  </si>
  <si>
    <t>B – Médio Valor</t>
  </si>
  <si>
    <t>R$ 2.000–R$ 3.499/mês</t>
  </si>
  <si>
    <t>Bimensal (call e e-mail)</t>
  </si>
  <si>
    <t>E-mail</t>
  </si>
  <si>
    <t>48 horas</t>
  </si>
  <si>
    <t>Junho/26</t>
  </si>
  <si>
    <t>C – Menor Ticket</t>
  </si>
  <si>
    <t>&lt; R$ 2.000/mês</t>
  </si>
  <si>
    <t>Trimestral (call e e-mail)</t>
  </si>
  <si>
    <t>Semestral</t>
  </si>
  <si>
    <t>72 horas</t>
  </si>
  <si>
    <t>MRR Total Ativo</t>
  </si>
  <si>
    <t>* Tier B+ pode incluir contas classificadas estrategicamente por porte ou potencial, independente da faixa de MRR  |  Prazo p/ 1º Contato = mês limite para completar o primeiro ciclo de contato com todos os clientes do tier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</si>
</sst>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38">
    <font>
      <sz val="11.0"/>
      <color theme="1"/>
      <name val="Calibri"/>
      <scheme val="minor"/>
    </font>
    <font>
      <i/>
      <sz val="9.0"/>
      <color rgb="FFA8D8E0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i/>
      <sz val="8.0"/>
      <color rgb="FF0A6A7A"/>
      <name val="Calibri"/>
    </font>
    <font>
      <b/>
      <sz val="9.0"/>
      <color rgb="FF0A6A7A"/>
      <name val="Calibri"/>
    </font>
    <font>
      <b/>
      <sz val="10.0"/>
      <color rgb="FF0A6A7A"/>
      <name val="Calibri"/>
    </font>
    <font>
      <b/>
      <sz val="16.0"/>
      <color rgb="FF0E8FA3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sz val="9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9.0"/>
      <color rgb="FF1A5C2E"/>
      <name val="Calibri"/>
    </font>
    <font>
      <sz val="9.0"/>
      <color rgb="FF666666"/>
      <name val="Calibri"/>
    </font>
    <font>
      <b/>
      <sz val="9.0"/>
      <color rgb="FF1A5276"/>
      <name val="Calibri"/>
    </font>
    <font>
      <b/>
      <sz val="9.0"/>
      <color rgb="FF21618C"/>
      <name val="Calibri"/>
    </font>
    <font>
      <b/>
      <sz val="9.0"/>
      <color rgb="FF616A6B"/>
      <name val="Calibri"/>
    </font>
    <font>
      <b/>
      <sz val="10.0"/>
      <color rgb="FF1A5C2E"/>
      <name val="Calibri"/>
    </font>
    <font>
      <sz val="9.0"/>
      <color rgb="FF1A5C2E"/>
      <name val="Calibri"/>
    </font>
    <font>
      <b/>
      <sz val="12.0"/>
      <color rgb="FF1A5C2E"/>
      <name val="Calibri"/>
    </font>
    <font>
      <sz val="9.0"/>
      <color theme="1"/>
      <name val="Calibri"/>
    </font>
    <font>
      <b/>
      <sz val="11.0"/>
      <color rgb="FF1A5C2E"/>
      <name val="Calibri"/>
    </font>
    <font>
      <b/>
      <sz val="10.0"/>
      <color rgb="FF1A5276"/>
      <name val="Calibri"/>
    </font>
    <font>
      <sz val="9.0"/>
      <color rgb="FF1A5276"/>
      <name val="Calibri"/>
    </font>
    <font>
      <b/>
      <sz val="12.0"/>
      <color rgb="FF1A5276"/>
      <name val="Calibri"/>
    </font>
    <font>
      <b/>
      <sz val="11.0"/>
      <color rgb="FF1A5276"/>
      <name val="Calibri"/>
    </font>
    <font>
      <b/>
      <sz val="10.0"/>
      <color rgb="FF21618C"/>
      <name val="Calibri"/>
    </font>
    <font>
      <sz val="9.0"/>
      <color rgb="FF21618C"/>
      <name val="Calibri"/>
    </font>
    <font>
      <b/>
      <sz val="12.0"/>
      <color rgb="FF21618C"/>
      <name val="Calibri"/>
    </font>
    <font>
      <b/>
      <sz val="11.0"/>
      <color rgb="FF21618C"/>
      <name val="Calibri"/>
    </font>
    <font>
      <b/>
      <sz val="10.0"/>
      <color rgb="FF616A6B"/>
      <name val="Calibri"/>
    </font>
    <font>
      <sz val="9.0"/>
      <color rgb="FF616A6B"/>
      <name val="Calibri"/>
    </font>
    <font>
      <b/>
      <sz val="12.0"/>
      <color rgb="FF616A6B"/>
      <name val="Calibri"/>
    </font>
    <font>
      <b/>
      <sz val="11.0"/>
      <color rgb="FF616A6B"/>
      <name val="Calibri"/>
    </font>
    <font>
      <b/>
      <sz val="11.0"/>
      <color rgb="FFFFFFFF"/>
      <name val="Calibri"/>
    </font>
    <font>
      <b/>
      <sz val="12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A6A7A"/>
        <bgColor rgb="FF0A6A7A"/>
      </patternFill>
    </fill>
    <fill>
      <patternFill patternType="solid">
        <fgColor rgb="FFE0F4F7"/>
        <bgColor rgb="FFE0F4F7"/>
      </patternFill>
    </fill>
    <fill>
      <patternFill patternType="solid">
        <fgColor rgb="FF0E8FA3"/>
        <bgColor rgb="FF0E8FA3"/>
      </patternFill>
    </fill>
    <fill>
      <patternFill patternType="solid">
        <fgColor rgb="FFEBF5FB"/>
        <bgColor rgb="FFEBF5FB"/>
      </patternFill>
    </fill>
    <fill>
      <patternFill patternType="solid">
        <fgColor rgb="FF27AE60"/>
        <bgColor rgb="FF27AE60"/>
      </patternFill>
    </fill>
    <fill>
      <patternFill patternType="solid">
        <fgColor rgb="FFD5F5E3"/>
        <bgColor rgb="FFD5F5E3"/>
      </patternFill>
    </fill>
    <fill>
      <patternFill patternType="solid">
        <fgColor rgb="FFF5F6FA"/>
        <bgColor rgb="FFF5F6FA"/>
      </patternFill>
    </fill>
    <fill>
      <patternFill patternType="solid">
        <fgColor rgb="FF2980B9"/>
        <bgColor rgb="FF2980B9"/>
      </patternFill>
    </fill>
    <fill>
      <patternFill patternType="solid">
        <fgColor rgb="FFD6EAF8"/>
        <bgColor rgb="FFD6EAF8"/>
      </patternFill>
    </fill>
    <fill>
      <patternFill patternType="solid">
        <fgColor rgb="FF5DADE2"/>
        <bgColor rgb="FF5DADE2"/>
      </patternFill>
    </fill>
    <fill>
      <patternFill patternType="solid">
        <fgColor rgb="FFEAF2F8"/>
        <bgColor rgb="FFEAF2F8"/>
      </patternFill>
    </fill>
    <fill>
      <patternFill patternType="solid">
        <fgColor rgb="FF95A5A6"/>
        <bgColor rgb="FF95A5A6"/>
      </patternFill>
    </fill>
    <fill>
      <patternFill patternType="solid">
        <fgColor rgb="FFF8F9F9"/>
        <bgColor rgb="FFF8F9F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top style="thin">
        <color rgb="FFD5D8DC"/>
      </top>
      <bottom style="thin">
        <color rgb="FFD5D8DC"/>
      </bottom>
    </border>
    <border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Fill="1" applyFont="1"/>
    <xf borderId="1" fillId="4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5" fontId="5" numFmtId="0" xfId="0" applyAlignment="1" applyBorder="1" applyFill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left" vertical="center"/>
    </xf>
    <xf borderId="1" fillId="5" fontId="8" numFmtId="164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 vertical="center"/>
    </xf>
    <xf borderId="5" fillId="6" fontId="9" numFmtId="0" xfId="0" applyAlignment="1" applyBorder="1" applyFill="1" applyFont="1">
      <alignment horizontal="left" vertical="center"/>
    </xf>
    <xf borderId="6" fillId="0" fontId="4" numFmtId="0" xfId="0" applyBorder="1" applyFont="1"/>
    <xf borderId="4" fillId="6" fontId="9" numFmtId="164" xfId="0" applyAlignment="1" applyBorder="1" applyFont="1" applyNumberFormat="1">
      <alignment horizontal="right" vertical="center"/>
    </xf>
    <xf borderId="4" fillId="6" fontId="10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vertical="center"/>
    </xf>
    <xf borderId="4" fillId="7" fontId="12" numFmtId="0" xfId="0" applyAlignment="1" applyBorder="1" applyFill="1" applyFont="1">
      <alignment horizontal="center" vertical="center"/>
    </xf>
    <xf borderId="4" fillId="7" fontId="12" numFmtId="0" xfId="0" applyAlignment="1" applyBorder="1" applyFont="1">
      <alignment horizontal="left" vertical="center"/>
    </xf>
    <xf borderId="4" fillId="7" fontId="13" numFmtId="164" xfId="0" applyAlignment="1" applyBorder="1" applyFont="1" applyNumberFormat="1">
      <alignment horizontal="right" vertical="center"/>
    </xf>
    <xf borderId="4" fillId="7" fontId="14" numFmtId="0" xfId="0" applyAlignment="1" applyBorder="1" applyFont="1">
      <alignment horizontal="center" vertical="center"/>
    </xf>
    <xf borderId="4" fillId="7" fontId="15" numFmtId="0" xfId="0" applyAlignment="1" applyBorder="1" applyFont="1">
      <alignment horizontal="left" shrinkToFit="0" vertical="center" wrapText="1"/>
    </xf>
    <xf borderId="4" fillId="8" fontId="12" numFmtId="0" xfId="0" applyAlignment="1" applyBorder="1" applyFill="1" applyFont="1">
      <alignment horizontal="center" vertical="center"/>
    </xf>
    <xf borderId="4" fillId="8" fontId="12" numFmtId="0" xfId="0" applyAlignment="1" applyBorder="1" applyFont="1">
      <alignment horizontal="left" vertical="center"/>
    </xf>
    <xf borderId="4" fillId="8" fontId="13" numFmtId="164" xfId="0" applyAlignment="1" applyBorder="1" applyFont="1" applyNumberFormat="1">
      <alignment horizontal="right" vertical="center"/>
    </xf>
    <xf borderId="4" fillId="8" fontId="14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left" readingOrder="0" shrinkToFit="0" vertical="center" wrapText="1"/>
    </xf>
    <xf borderId="4" fillId="8" fontId="15" numFmtId="0" xfId="0" applyAlignment="1" applyBorder="1" applyFont="1">
      <alignment horizontal="left" shrinkToFit="0" vertical="center" wrapText="1"/>
    </xf>
    <xf borderId="5" fillId="9" fontId="9" numFmtId="0" xfId="0" applyAlignment="1" applyBorder="1" applyFill="1" applyFont="1">
      <alignment horizontal="left" vertical="center"/>
    </xf>
    <xf borderId="4" fillId="9" fontId="9" numFmtId="164" xfId="0" applyAlignment="1" applyBorder="1" applyFont="1" applyNumberFormat="1">
      <alignment horizontal="right" vertical="center"/>
    </xf>
    <xf borderId="4" fillId="9" fontId="10" numFmtId="0" xfId="0" applyAlignment="1" applyBorder="1" applyFont="1">
      <alignment horizontal="center" vertical="center"/>
    </xf>
    <xf borderId="4" fillId="9" fontId="11" numFmtId="0" xfId="0" applyAlignment="1" applyBorder="1" applyFont="1">
      <alignment horizontal="center" vertical="center"/>
    </xf>
    <xf borderId="4" fillId="10" fontId="12" numFmtId="0" xfId="0" applyAlignment="1" applyBorder="1" applyFill="1" applyFont="1">
      <alignment horizontal="center" vertical="center"/>
    </xf>
    <xf borderId="4" fillId="10" fontId="12" numFmtId="0" xfId="0" applyAlignment="1" applyBorder="1" applyFont="1">
      <alignment horizontal="left" vertical="center"/>
    </xf>
    <xf borderId="4" fillId="10" fontId="13" numFmtId="164" xfId="0" applyAlignment="1" applyBorder="1" applyFont="1" applyNumberFormat="1">
      <alignment horizontal="right" vertical="center"/>
    </xf>
    <xf borderId="4" fillId="10" fontId="16" numFmtId="0" xfId="0" applyAlignment="1" applyBorder="1" applyFont="1">
      <alignment horizontal="center" vertical="center"/>
    </xf>
    <xf borderId="4" fillId="10" fontId="15" numFmtId="0" xfId="0" applyAlignment="1" applyBorder="1" applyFont="1">
      <alignment horizontal="left" shrinkToFit="0" vertical="center" wrapText="1"/>
    </xf>
    <xf borderId="4" fillId="8" fontId="16" numFmtId="0" xfId="0" applyAlignment="1" applyBorder="1" applyFont="1">
      <alignment horizontal="center" vertical="center"/>
    </xf>
    <xf borderId="5" fillId="11" fontId="9" numFmtId="0" xfId="0" applyAlignment="1" applyBorder="1" applyFill="1" applyFont="1">
      <alignment horizontal="left" vertical="center"/>
    </xf>
    <xf borderId="4" fillId="11" fontId="9" numFmtId="164" xfId="0" applyAlignment="1" applyBorder="1" applyFont="1" applyNumberFormat="1">
      <alignment horizontal="right" vertical="center"/>
    </xf>
    <xf borderId="4" fillId="11" fontId="10" numFmtId="0" xfId="0" applyAlignment="1" applyBorder="1" applyFont="1">
      <alignment horizontal="center" vertical="center"/>
    </xf>
    <xf borderId="4" fillId="11" fontId="11" numFmtId="0" xfId="0" applyAlignment="1" applyBorder="1" applyFont="1">
      <alignment horizontal="center" vertical="center"/>
    </xf>
    <xf borderId="4" fillId="12" fontId="12" numFmtId="0" xfId="0" applyAlignment="1" applyBorder="1" applyFill="1" applyFont="1">
      <alignment horizontal="center" vertical="center"/>
    </xf>
    <xf borderId="4" fillId="12" fontId="12" numFmtId="0" xfId="0" applyAlignment="1" applyBorder="1" applyFont="1">
      <alignment horizontal="left" vertical="center"/>
    </xf>
    <xf borderId="4" fillId="12" fontId="13" numFmtId="164" xfId="0" applyAlignment="1" applyBorder="1" applyFont="1" applyNumberFormat="1">
      <alignment horizontal="right" vertical="center"/>
    </xf>
    <xf borderId="4" fillId="12" fontId="17" numFmtId="0" xfId="0" applyAlignment="1" applyBorder="1" applyFont="1">
      <alignment horizontal="center" vertical="center"/>
    </xf>
    <xf borderId="4" fillId="12" fontId="15" numFmtId="0" xfId="0" applyAlignment="1" applyBorder="1" applyFont="1">
      <alignment horizontal="left" shrinkToFit="0" vertical="center" wrapText="1"/>
    </xf>
    <xf borderId="4" fillId="8" fontId="17" numFmtId="0" xfId="0" applyAlignment="1" applyBorder="1" applyFont="1">
      <alignment horizontal="center" vertical="center"/>
    </xf>
    <xf borderId="5" fillId="13" fontId="9" numFmtId="0" xfId="0" applyAlignment="1" applyBorder="1" applyFill="1" applyFont="1">
      <alignment horizontal="left" vertical="center"/>
    </xf>
    <xf borderId="4" fillId="13" fontId="9" numFmtId="164" xfId="0" applyAlignment="1" applyBorder="1" applyFont="1" applyNumberFormat="1">
      <alignment horizontal="right" vertical="center"/>
    </xf>
    <xf borderId="4" fillId="13" fontId="10" numFmtId="0" xfId="0" applyAlignment="1" applyBorder="1" applyFont="1">
      <alignment horizontal="center" vertical="center"/>
    </xf>
    <xf borderId="4" fillId="13" fontId="11" numFmtId="0" xfId="0" applyAlignment="1" applyBorder="1" applyFont="1">
      <alignment horizontal="center" vertical="center"/>
    </xf>
    <xf borderId="4" fillId="14" fontId="12" numFmtId="0" xfId="0" applyAlignment="1" applyBorder="1" applyFill="1" applyFont="1">
      <alignment horizontal="center" vertical="center"/>
    </xf>
    <xf borderId="4" fillId="14" fontId="12" numFmtId="0" xfId="0" applyAlignment="1" applyBorder="1" applyFont="1">
      <alignment horizontal="left" vertical="center"/>
    </xf>
    <xf borderId="4" fillId="14" fontId="13" numFmtId="164" xfId="0" applyAlignment="1" applyBorder="1" applyFont="1" applyNumberFormat="1">
      <alignment horizontal="right" vertical="center"/>
    </xf>
    <xf borderId="4" fillId="14" fontId="18" numFmtId="0" xfId="0" applyAlignment="1" applyBorder="1" applyFont="1">
      <alignment horizontal="center" vertical="center"/>
    </xf>
    <xf borderId="4" fillId="14" fontId="15" numFmtId="0" xfId="0" applyAlignment="1" applyBorder="1" applyFont="1">
      <alignment horizontal="left" shrinkToFit="0" vertical="center" wrapText="1"/>
    </xf>
    <xf borderId="4" fillId="8" fontId="18" numFmtId="0" xfId="0" applyAlignment="1" applyBorder="1" applyFont="1">
      <alignment horizontal="center" vertical="center"/>
    </xf>
    <xf borderId="4" fillId="7" fontId="19" numFmtId="0" xfId="0" applyAlignment="1" applyBorder="1" applyFont="1">
      <alignment horizontal="left" vertical="center"/>
    </xf>
    <xf borderId="4" fillId="7" fontId="20" numFmtId="0" xfId="0" applyAlignment="1" applyBorder="1" applyFont="1">
      <alignment horizontal="center" vertical="center"/>
    </xf>
    <xf borderId="4" fillId="7" fontId="21" numFmtId="0" xfId="0" applyAlignment="1" applyBorder="1" applyFont="1">
      <alignment horizontal="center" vertical="center"/>
    </xf>
    <xf borderId="4" fillId="7" fontId="19" numFmtId="164" xfId="0" applyAlignment="1" applyBorder="1" applyFont="1" applyNumberFormat="1">
      <alignment horizontal="right" vertical="center"/>
    </xf>
    <xf borderId="4" fillId="7" fontId="22" numFmtId="0" xfId="0" applyAlignment="1" applyBorder="1" applyFont="1">
      <alignment horizontal="center" vertical="center"/>
    </xf>
    <xf borderId="4" fillId="7" fontId="19" numFmtId="0" xfId="0" applyAlignment="1" applyBorder="1" applyFont="1">
      <alignment horizontal="center" vertical="center"/>
    </xf>
    <xf borderId="4" fillId="7" fontId="23" numFmtId="0" xfId="0" applyAlignment="1" applyBorder="1" applyFont="1">
      <alignment horizontal="center" vertical="center"/>
    </xf>
    <xf borderId="4" fillId="10" fontId="24" numFmtId="0" xfId="0" applyAlignment="1" applyBorder="1" applyFont="1">
      <alignment horizontal="left" vertical="center"/>
    </xf>
    <xf borderId="4" fillId="10" fontId="25" numFmtId="0" xfId="0" applyAlignment="1" applyBorder="1" applyFont="1">
      <alignment horizontal="center" vertical="center"/>
    </xf>
    <xf borderId="4" fillId="10" fontId="26" numFmtId="0" xfId="0" applyAlignment="1" applyBorder="1" applyFont="1">
      <alignment horizontal="center" vertical="center"/>
    </xf>
    <xf borderId="4" fillId="10" fontId="24" numFmtId="164" xfId="0" applyAlignment="1" applyBorder="1" applyFont="1" applyNumberFormat="1">
      <alignment horizontal="right" vertical="center"/>
    </xf>
    <xf borderId="4" fillId="10" fontId="22" numFmtId="0" xfId="0" applyAlignment="1" applyBorder="1" applyFont="1">
      <alignment horizontal="center" vertical="center"/>
    </xf>
    <xf borderId="4" fillId="10" fontId="24" numFmtId="0" xfId="0" applyAlignment="1" applyBorder="1" applyFont="1">
      <alignment horizontal="center" vertical="center"/>
    </xf>
    <xf borderId="4" fillId="10" fontId="27" numFmtId="0" xfId="0" applyAlignment="1" applyBorder="1" applyFont="1">
      <alignment horizontal="center" vertical="center"/>
    </xf>
    <xf borderId="4" fillId="12" fontId="28" numFmtId="0" xfId="0" applyAlignment="1" applyBorder="1" applyFont="1">
      <alignment horizontal="left" vertical="center"/>
    </xf>
    <xf borderId="4" fillId="12" fontId="29" numFmtId="0" xfId="0" applyAlignment="1" applyBorder="1" applyFont="1">
      <alignment horizontal="center" vertical="center"/>
    </xf>
    <xf borderId="4" fillId="12" fontId="30" numFmtId="0" xfId="0" applyAlignment="1" applyBorder="1" applyFont="1">
      <alignment horizontal="center" vertical="center"/>
    </xf>
    <xf borderId="4" fillId="12" fontId="28" numFmtId="164" xfId="0" applyAlignment="1" applyBorder="1" applyFont="1" applyNumberFormat="1">
      <alignment horizontal="right" vertical="center"/>
    </xf>
    <xf borderId="4" fillId="12" fontId="22" numFmtId="0" xfId="0" applyAlignment="1" applyBorder="1" applyFont="1">
      <alignment horizontal="center" vertical="center"/>
    </xf>
    <xf borderId="4" fillId="12" fontId="28" numFmtId="0" xfId="0" applyAlignment="1" applyBorder="1" applyFont="1">
      <alignment horizontal="center" vertical="center"/>
    </xf>
    <xf borderId="4" fillId="12" fontId="31" numFmtId="0" xfId="0" applyAlignment="1" applyBorder="1" applyFont="1">
      <alignment horizontal="center" vertical="center"/>
    </xf>
    <xf borderId="4" fillId="14" fontId="32" numFmtId="0" xfId="0" applyAlignment="1" applyBorder="1" applyFont="1">
      <alignment horizontal="left" vertical="center"/>
    </xf>
    <xf borderId="4" fillId="14" fontId="33" numFmtId="0" xfId="0" applyAlignment="1" applyBorder="1" applyFont="1">
      <alignment horizontal="center" vertical="center"/>
    </xf>
    <xf borderId="4" fillId="14" fontId="34" numFmtId="0" xfId="0" applyAlignment="1" applyBorder="1" applyFont="1">
      <alignment horizontal="center" vertical="center"/>
    </xf>
    <xf borderId="4" fillId="14" fontId="32" numFmtId="164" xfId="0" applyAlignment="1" applyBorder="1" applyFont="1" applyNumberFormat="1">
      <alignment horizontal="right" vertical="center"/>
    </xf>
    <xf borderId="4" fillId="14" fontId="22" numFmtId="0" xfId="0" applyAlignment="1" applyBorder="1" applyFont="1">
      <alignment horizontal="center" vertical="center"/>
    </xf>
    <xf borderId="4" fillId="14" fontId="32" numFmtId="0" xfId="0" applyAlignment="1" applyBorder="1" applyFont="1">
      <alignment horizontal="center" vertical="center"/>
    </xf>
    <xf borderId="4" fillId="14" fontId="35" numFmtId="0" xfId="0" applyAlignment="1" applyBorder="1" applyFont="1">
      <alignment horizontal="center" vertical="center"/>
    </xf>
    <xf borderId="1" fillId="2" fontId="36" numFmtId="0" xfId="0" applyAlignment="1" applyBorder="1" applyFont="1">
      <alignment horizontal="left" vertical="center"/>
    </xf>
    <xf borderId="4" fillId="2" fontId="37" numFmtId="0" xfId="0" applyAlignment="1" applyBorder="1" applyFont="1">
      <alignment horizontal="center" vertical="center"/>
    </xf>
    <xf borderId="4" fillId="2" fontId="37" numFmtId="164" xfId="0" applyAlignment="1" applyBorder="1" applyFont="1" applyNumberFormat="1">
      <alignment horizontal="right" vertical="center"/>
    </xf>
    <xf borderId="4" fillId="2" fontId="12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1304925" cy="4572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1304925" cy="4572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8FA3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4.0"/>
    <col customWidth="1" min="3" max="3" width="16.0"/>
    <col customWidth="1" min="4" max="4" width="10.0"/>
    <col customWidth="1" min="5" max="5" width="38.0"/>
    <col customWidth="1" min="6" max="26" width="8.71"/>
  </cols>
  <sheetData>
    <row r="1" ht="67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1</v>
      </c>
      <c r="B2" s="4"/>
      <c r="C2" s="4"/>
      <c r="D2" s="4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6" t="s">
        <v>2</v>
      </c>
      <c r="B3" s="4"/>
      <c r="C3" s="4"/>
      <c r="D3" s="4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7" t="str">
        <f>"Tier A: "&amp;COUNTIF($D$8:$D$4999,"Tier A")&amp;" cl  |  Tier B+: "&amp;COUNTIF($D$8:$D$4999,"Tier B+")&amp;" cl  |  Tier B: "&amp;COUNTIF($D$8:$D$4999,"Tier B")&amp;" cl  |  Tier C: "&amp;COUNTIF($D$8:$D$4999,"Tier C")&amp;" cl  |  Total: "&amp;COUNTIF($D$8:$D$4999,"Tier*")&amp;" clientes"</f>
        <v>Tier A: 9 cl  |  Tier B+: 9 cl  |  Tier B: 12 cl  |  Tier C: 5 cl  |  Total: 35 clientes</v>
      </c>
      <c r="B4" s="4"/>
      <c r="C4" s="4"/>
      <c r="D4" s="4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8" t="s">
        <v>3</v>
      </c>
      <c r="B5" s="5"/>
      <c r="C5" s="9">
        <f>SUMIF($D$9:$D$4999,"Tier*",$C$9:$C$4999)</f>
        <v>142754.92</v>
      </c>
      <c r="D5" s="4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.0" customHeight="1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0" t="s">
        <v>4</v>
      </c>
      <c r="B7" s="10" t="s">
        <v>5</v>
      </c>
      <c r="C7" s="10" t="s">
        <v>6</v>
      </c>
      <c r="D7" s="10" t="s">
        <v>7</v>
      </c>
      <c r="E7" s="10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1" t="s">
        <v>9</v>
      </c>
      <c r="B8" s="12"/>
      <c r="C8" s="13">
        <f>SUMIF($D$9:$D$4999,"Tier A",$C$9:$C$4999)</f>
        <v>69001.63</v>
      </c>
      <c r="D8" s="14" t="s">
        <v>10</v>
      </c>
      <c r="E8" s="15" t="s">
        <v>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16">
        <v>1.0</v>
      </c>
      <c r="B9" s="17" t="s">
        <v>12</v>
      </c>
      <c r="C9" s="18">
        <v>16666.0</v>
      </c>
      <c r="D9" s="19" t="s">
        <v>13</v>
      </c>
      <c r="E9" s="2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1">
        <v>2.0</v>
      </c>
      <c r="B10" s="22" t="s">
        <v>14</v>
      </c>
      <c r="C10" s="23">
        <v>10302.0</v>
      </c>
      <c r="D10" s="24" t="s">
        <v>13</v>
      </c>
      <c r="E10" s="25" t="s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16">
        <v>3.0</v>
      </c>
      <c r="B11" s="17" t="s">
        <v>16</v>
      </c>
      <c r="C11" s="18">
        <v>8916.67</v>
      </c>
      <c r="D11" s="19" t="s">
        <v>13</v>
      </c>
      <c r="E11" s="20" t="s">
        <v>17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21">
        <v>4.0</v>
      </c>
      <c r="B12" s="22" t="s">
        <v>18</v>
      </c>
      <c r="C12" s="23">
        <v>7750.0</v>
      </c>
      <c r="D12" s="24" t="s">
        <v>13</v>
      </c>
      <c r="E12" s="26" t="s">
        <v>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16">
        <v>5.0</v>
      </c>
      <c r="B13" s="17" t="s">
        <v>20</v>
      </c>
      <c r="C13" s="18">
        <v>7000.0</v>
      </c>
      <c r="D13" s="19" t="s">
        <v>13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21">
        <v>6.0</v>
      </c>
      <c r="B14" s="22" t="s">
        <v>21</v>
      </c>
      <c r="C14" s="23">
        <v>6500.0</v>
      </c>
      <c r="D14" s="24" t="s">
        <v>13</v>
      </c>
      <c r="E14" s="2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16">
        <v>7.0</v>
      </c>
      <c r="B15" s="17" t="s">
        <v>22</v>
      </c>
      <c r="C15" s="18">
        <v>5509.4</v>
      </c>
      <c r="D15" s="19" t="s">
        <v>13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21">
        <v>8.0</v>
      </c>
      <c r="B16" s="22" t="s">
        <v>23</v>
      </c>
      <c r="C16" s="23">
        <v>5007.2</v>
      </c>
      <c r="D16" s="24" t="s">
        <v>13</v>
      </c>
      <c r="E16" s="26" t="s">
        <v>24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16">
        <v>9.0</v>
      </c>
      <c r="B17" s="17" t="s">
        <v>25</v>
      </c>
      <c r="C17" s="18">
        <v>1350.36</v>
      </c>
      <c r="D17" s="19" t="s">
        <v>13</v>
      </c>
      <c r="E17" s="20" t="s">
        <v>26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7" t="s">
        <v>27</v>
      </c>
      <c r="B18" s="12"/>
      <c r="C18" s="28">
        <f>SUMIF($D$9:$D$4999,"Tier B+",$C$9:$C$4999)</f>
        <v>35417.1</v>
      </c>
      <c r="D18" s="29" t="s">
        <v>10</v>
      </c>
      <c r="E18" s="30" t="s">
        <v>28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>
        <v>1.0</v>
      </c>
      <c r="B19" s="32" t="s">
        <v>29</v>
      </c>
      <c r="C19" s="33">
        <v>4800.0</v>
      </c>
      <c r="D19" s="34" t="s">
        <v>30</v>
      </c>
      <c r="E19" s="3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21">
        <v>2.0</v>
      </c>
      <c r="B20" s="22" t="s">
        <v>31</v>
      </c>
      <c r="C20" s="23">
        <v>4700.0</v>
      </c>
      <c r="D20" s="36" t="s">
        <v>30</v>
      </c>
      <c r="E20" s="2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>
        <v>3.0</v>
      </c>
      <c r="B21" s="32" t="s">
        <v>32</v>
      </c>
      <c r="C21" s="33">
        <v>4634.0</v>
      </c>
      <c r="D21" s="34" t="s">
        <v>30</v>
      </c>
      <c r="E21" s="3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21">
        <v>4.0</v>
      </c>
      <c r="B22" s="22" t="s">
        <v>33</v>
      </c>
      <c r="C22" s="23">
        <v>4309.0</v>
      </c>
      <c r="D22" s="36" t="s">
        <v>30</v>
      </c>
      <c r="E22" s="2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31">
        <v>5.0</v>
      </c>
      <c r="B23" s="32" t="s">
        <v>34</v>
      </c>
      <c r="C23" s="33">
        <v>3839.0</v>
      </c>
      <c r="D23" s="34" t="s">
        <v>30</v>
      </c>
      <c r="E23" s="35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8.75" customHeight="1">
      <c r="A24" s="21">
        <v>6.0</v>
      </c>
      <c r="B24" s="22" t="s">
        <v>35</v>
      </c>
      <c r="C24" s="23">
        <v>3784.99</v>
      </c>
      <c r="D24" s="36" t="s">
        <v>30</v>
      </c>
      <c r="E24" s="26" t="s">
        <v>36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31">
        <v>7.0</v>
      </c>
      <c r="B25" s="32" t="s">
        <v>37</v>
      </c>
      <c r="C25" s="33">
        <v>3644.0</v>
      </c>
      <c r="D25" s="34" t="s">
        <v>30</v>
      </c>
      <c r="E25" s="3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21">
        <v>8.0</v>
      </c>
      <c r="B26" s="22" t="s">
        <v>38</v>
      </c>
      <c r="C26" s="23">
        <v>3450.24</v>
      </c>
      <c r="D26" s="36" t="s">
        <v>30</v>
      </c>
      <c r="E26" s="26" t="s">
        <v>39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31">
        <v>9.0</v>
      </c>
      <c r="B27" s="32" t="s">
        <v>40</v>
      </c>
      <c r="C27" s="33">
        <v>2255.87</v>
      </c>
      <c r="D27" s="34" t="s">
        <v>30</v>
      </c>
      <c r="E27" s="35" t="s">
        <v>41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37" t="s">
        <v>42</v>
      </c>
      <c r="B28" s="12"/>
      <c r="C28" s="38">
        <f>SUMIF($D$9:$D$4999,"Tier B",$C$9:$C$4999)</f>
        <v>30397.84</v>
      </c>
      <c r="D28" s="39" t="s">
        <v>43</v>
      </c>
      <c r="E28" s="40" t="s">
        <v>44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75" customHeight="1">
      <c r="A29" s="41">
        <v>1.0</v>
      </c>
      <c r="B29" s="42" t="s">
        <v>45</v>
      </c>
      <c r="C29" s="43">
        <v>3300.0</v>
      </c>
      <c r="D29" s="44" t="s">
        <v>46</v>
      </c>
      <c r="E29" s="4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21">
        <v>2.0</v>
      </c>
      <c r="B30" s="22" t="s">
        <v>47</v>
      </c>
      <c r="C30" s="23">
        <v>3200.0</v>
      </c>
      <c r="D30" s="46" t="s">
        <v>46</v>
      </c>
      <c r="E30" s="2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41">
        <v>3.0</v>
      </c>
      <c r="B31" s="42" t="s">
        <v>48</v>
      </c>
      <c r="C31" s="43">
        <v>2699.0</v>
      </c>
      <c r="D31" s="44" t="s">
        <v>46</v>
      </c>
      <c r="E31" s="4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21">
        <v>4.0</v>
      </c>
      <c r="B32" s="22" t="s">
        <v>49</v>
      </c>
      <c r="C32" s="23">
        <v>2504.3</v>
      </c>
      <c r="D32" s="46" t="s">
        <v>46</v>
      </c>
      <c r="E32" s="2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41">
        <v>5.0</v>
      </c>
      <c r="B33" s="42" t="s">
        <v>50</v>
      </c>
      <c r="C33" s="43">
        <v>2500.0</v>
      </c>
      <c r="D33" s="44" t="s">
        <v>46</v>
      </c>
      <c r="E33" s="4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21">
        <v>6.0</v>
      </c>
      <c r="B34" s="22" t="s">
        <v>51</v>
      </c>
      <c r="C34" s="23">
        <v>2500.0</v>
      </c>
      <c r="D34" s="46" t="s">
        <v>46</v>
      </c>
      <c r="E34" s="2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41">
        <v>7.0</v>
      </c>
      <c r="B35" s="42" t="s">
        <v>52</v>
      </c>
      <c r="C35" s="43">
        <v>2450.0</v>
      </c>
      <c r="D35" s="44" t="s">
        <v>46</v>
      </c>
      <c r="E35" s="45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21">
        <v>8.0</v>
      </c>
      <c r="B36" s="22" t="s">
        <v>53</v>
      </c>
      <c r="C36" s="23">
        <v>2385.0</v>
      </c>
      <c r="D36" s="46" t="s">
        <v>46</v>
      </c>
      <c r="E36" s="2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41">
        <v>9.0</v>
      </c>
      <c r="B37" s="42" t="s">
        <v>54</v>
      </c>
      <c r="C37" s="43">
        <v>2309.0</v>
      </c>
      <c r="D37" s="44" t="s">
        <v>46</v>
      </c>
      <c r="E37" s="4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21">
        <v>10.0</v>
      </c>
      <c r="B38" s="22" t="s">
        <v>55</v>
      </c>
      <c r="C38" s="23">
        <v>2250.0</v>
      </c>
      <c r="D38" s="46" t="s">
        <v>46</v>
      </c>
      <c r="E38" s="26" t="s">
        <v>56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41">
        <v>11.0</v>
      </c>
      <c r="B39" s="42" t="s">
        <v>57</v>
      </c>
      <c r="C39" s="43">
        <v>2181.92</v>
      </c>
      <c r="D39" s="44" t="s">
        <v>46</v>
      </c>
      <c r="E39" s="4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21">
        <v>12.0</v>
      </c>
      <c r="B40" s="22" t="s">
        <v>58</v>
      </c>
      <c r="C40" s="23">
        <v>2118.62</v>
      </c>
      <c r="D40" s="46" t="s">
        <v>46</v>
      </c>
      <c r="E40" s="2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47" t="s">
        <v>59</v>
      </c>
      <c r="B41" s="12"/>
      <c r="C41" s="48">
        <f>SUMIF($D$9:$D$4999,"Tier C",$C$9:$C$4999)</f>
        <v>7938.35</v>
      </c>
      <c r="D41" s="49" t="s">
        <v>60</v>
      </c>
      <c r="E41" s="50" t="s">
        <v>61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51">
        <v>1.0</v>
      </c>
      <c r="B42" s="52" t="s">
        <v>62</v>
      </c>
      <c r="C42" s="53">
        <v>1967.35</v>
      </c>
      <c r="D42" s="54" t="s">
        <v>63</v>
      </c>
      <c r="E42" s="5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21">
        <v>2.0</v>
      </c>
      <c r="B43" s="22" t="s">
        <v>64</v>
      </c>
      <c r="C43" s="23">
        <v>1899.0</v>
      </c>
      <c r="D43" s="56" t="s">
        <v>63</v>
      </c>
      <c r="E43" s="2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51">
        <v>3.0</v>
      </c>
      <c r="B44" s="52" t="s">
        <v>65</v>
      </c>
      <c r="C44" s="53">
        <v>1700.0</v>
      </c>
      <c r="D44" s="54" t="s">
        <v>63</v>
      </c>
      <c r="E44" s="5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21">
        <v>4.0</v>
      </c>
      <c r="B45" s="22" t="s">
        <v>66</v>
      </c>
      <c r="C45" s="23">
        <v>1672.0</v>
      </c>
      <c r="D45" s="56" t="s">
        <v>63</v>
      </c>
      <c r="E45" s="2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51">
        <v>5.0</v>
      </c>
      <c r="B46" s="52" t="s">
        <v>67</v>
      </c>
      <c r="C46" s="53">
        <v>700.0</v>
      </c>
      <c r="D46" s="54" t="s">
        <v>63</v>
      </c>
      <c r="E46" s="5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7.5" customHeight="1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A18:B18"/>
    <mergeCell ref="A28:B28"/>
    <mergeCell ref="A41:B41"/>
    <mergeCell ref="A1:E1"/>
    <mergeCell ref="A2:E2"/>
    <mergeCell ref="A3:E3"/>
    <mergeCell ref="A4:E4"/>
    <mergeCell ref="A5:B5"/>
    <mergeCell ref="C5:E5"/>
    <mergeCell ref="A8:B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6A7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7.0"/>
    <col customWidth="1" min="3" max="3" width="10.0"/>
    <col customWidth="1" min="4" max="4" width="16.0"/>
    <col customWidth="1" min="5" max="5" width="26.0"/>
    <col customWidth="1" min="6" max="6" width="13.0"/>
    <col customWidth="1" min="7" max="7" width="24.0"/>
    <col customWidth="1" min="8" max="8" width="14.0"/>
    <col customWidth="1" min="9" max="9" width="22.0"/>
    <col customWidth="1" min="10" max="29" width="8.71"/>
  </cols>
  <sheetData>
    <row r="1" ht="67.5" customHeight="1">
      <c r="A1" s="1" t="s">
        <v>68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0.0" customHeight="1">
      <c r="A2" s="3" t="s">
        <v>69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6" t="s">
        <v>70</v>
      </c>
      <c r="B3" s="4"/>
      <c r="C3" s="4"/>
      <c r="D3" s="4"/>
      <c r="E3" s="4"/>
      <c r="F3" s="4"/>
      <c r="G3" s="4"/>
      <c r="H3" s="4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9.5" customHeight="1">
      <c r="A4" s="10" t="s">
        <v>7</v>
      </c>
      <c r="B4" s="10" t="s">
        <v>71</v>
      </c>
      <c r="C4" s="10" t="s">
        <v>72</v>
      </c>
      <c r="D4" s="10" t="s">
        <v>73</v>
      </c>
      <c r="E4" s="10" t="s">
        <v>74</v>
      </c>
      <c r="F4" s="10" t="s">
        <v>75</v>
      </c>
      <c r="G4" s="10" t="s">
        <v>76</v>
      </c>
      <c r="H4" s="10" t="s">
        <v>77</v>
      </c>
      <c r="I4" s="10" t="s">
        <v>78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30.0" customHeight="1">
      <c r="A5" s="57" t="s">
        <v>79</v>
      </c>
      <c r="B5" s="58" t="s">
        <v>80</v>
      </c>
      <c r="C5" s="59">
        <f>COUNTIF('Tiers de Clientes'!$D$8:$D$4999,"Tier A")</f>
        <v>9</v>
      </c>
      <c r="D5" s="60">
        <f>SUMIF('Tiers de Clientes'!$D$8:$D$4999,"Tier A",'Tiers de Clientes'!$C$8:$C$4999)</f>
        <v>69001.63</v>
      </c>
      <c r="E5" s="61" t="s">
        <v>81</v>
      </c>
      <c r="F5" s="61" t="s">
        <v>82</v>
      </c>
      <c r="G5" s="61" t="s">
        <v>83</v>
      </c>
      <c r="H5" s="62" t="s">
        <v>84</v>
      </c>
      <c r="I5" s="63" t="s">
        <v>85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30.0" customHeight="1">
      <c r="A6" s="64" t="s">
        <v>86</v>
      </c>
      <c r="B6" s="65" t="s">
        <v>87</v>
      </c>
      <c r="C6" s="66">
        <f>COUNTIF('Tiers de Clientes'!$D$8:$D$4999,"Tier B+")</f>
        <v>9</v>
      </c>
      <c r="D6" s="67">
        <f>SUMIF('Tiers de Clientes'!$D$8:$D$4999,"Tier B+",'Tiers de Clientes'!$C$8:$C$4999)</f>
        <v>35417.1</v>
      </c>
      <c r="E6" s="68" t="s">
        <v>88</v>
      </c>
      <c r="F6" s="68" t="s">
        <v>89</v>
      </c>
      <c r="G6" s="68" t="s">
        <v>90</v>
      </c>
      <c r="H6" s="69" t="s">
        <v>91</v>
      </c>
      <c r="I6" s="70" t="s">
        <v>85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30.0" customHeight="1">
      <c r="A7" s="71" t="s">
        <v>92</v>
      </c>
      <c r="B7" s="72" t="s">
        <v>93</v>
      </c>
      <c r="C7" s="73">
        <f>COUNTIF('Tiers de Clientes'!$D$8:$D$4999,"Tier B")</f>
        <v>12</v>
      </c>
      <c r="D7" s="74">
        <f>SUMIF('Tiers de Clientes'!$D$8:$D$4999,"Tier B",'Tiers de Clientes'!$C$8:$C$4999)</f>
        <v>30397.84</v>
      </c>
      <c r="E7" s="75" t="s">
        <v>94</v>
      </c>
      <c r="F7" s="75" t="s">
        <v>89</v>
      </c>
      <c r="G7" s="75" t="s">
        <v>95</v>
      </c>
      <c r="H7" s="76" t="s">
        <v>96</v>
      </c>
      <c r="I7" s="77" t="s">
        <v>97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30.0" customHeight="1">
      <c r="A8" s="78" t="s">
        <v>98</v>
      </c>
      <c r="B8" s="79" t="s">
        <v>99</v>
      </c>
      <c r="C8" s="80">
        <f>COUNTIF('Tiers de Clientes'!$D$8:$D$4999,"Tier C")</f>
        <v>5</v>
      </c>
      <c r="D8" s="81">
        <f>SUMIF('Tiers de Clientes'!$D$8:$D$4999,"Tier C",'Tiers de Clientes'!$C$8:$C$4999)</f>
        <v>7938.35</v>
      </c>
      <c r="E8" s="82" t="s">
        <v>100</v>
      </c>
      <c r="F8" s="82" t="s">
        <v>101</v>
      </c>
      <c r="G8" s="82" t="s">
        <v>95</v>
      </c>
      <c r="H8" s="83" t="s">
        <v>102</v>
      </c>
      <c r="I8" s="84" t="s">
        <v>97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25.5" customHeight="1">
      <c r="A9" s="85" t="s">
        <v>103</v>
      </c>
      <c r="B9" s="5"/>
      <c r="C9" s="86">
        <f t="shared" ref="C9:D9" si="1">SUM(C5:C8)</f>
        <v>35</v>
      </c>
      <c r="D9" s="87">
        <f t="shared" si="1"/>
        <v>142754.92</v>
      </c>
      <c r="E9" s="88"/>
      <c r="F9" s="88"/>
      <c r="G9" s="88"/>
      <c r="H9" s="88"/>
      <c r="I9" s="8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1">
      <c r="A10" s="89" t="s">
        <v>104</v>
      </c>
      <c r="B10" s="4"/>
      <c r="C10" s="4"/>
      <c r="D10" s="4"/>
      <c r="E10" s="4"/>
      <c r="F10" s="4"/>
      <c r="G10" s="4"/>
      <c r="H10" s="4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3:I3"/>
    <mergeCell ref="A9:B9"/>
    <mergeCell ref="A10:I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2026-05-13T18:39:45Z</dcterms:created>
  <dc:creator>openpyxl</dc:creator>
</cp:coreProperties>
</file>