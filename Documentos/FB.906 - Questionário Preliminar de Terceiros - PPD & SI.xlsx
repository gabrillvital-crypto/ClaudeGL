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unimedcoopbr-my.sharepoint.com/personal/hanna_queiroz_unimed_coop_br/Documents/Área de Trabalho/"/>
    </mc:Choice>
  </mc:AlternateContent>
  <xr:revisionPtr revIDLastSave="2" documentId="8_{41090B33-ACFF-4D43-98E9-862D5639F505}" xr6:coauthVersionLast="47" xr6:coauthVersionMax="47" xr10:uidLastSave="{5CF053EB-6A72-41EF-A152-02045FED4847}"/>
  <bookViews>
    <workbookView xWindow="28680" yWindow="-120" windowWidth="29040" windowHeight="15720" activeTab="5" xr2:uid="{F5450434-CED4-4502-A5D5-C19C186CF158}"/>
  </bookViews>
  <sheets>
    <sheet name="Instruções" sheetId="1" r:id="rId1"/>
    <sheet name="Privacidade" sheetId="2" r:id="rId2"/>
    <sheet name="Lista suspensa" sheetId="4" state="hidden" r:id="rId3"/>
    <sheet name="Inteligência Artificial" sheetId="5" r:id="rId4"/>
    <sheet name="Lista suspensa IA" sheetId="6" state="hidden" r:id="rId5"/>
    <sheet name="Segurança da Informação" sheetId="3" r:id="rId6"/>
  </sheets>
  <definedNames>
    <definedName name="_xlnm.Print_Area" localSheetId="0">Instruções!$B$2:$AT$108</definedName>
    <definedName name="_xlnm.Print_Titles" localSheetId="0">Instruções!$2:$5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74" i="2" l="1"/>
  <c r="S74" i="2" s="1"/>
  <c r="B7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HANNA JULIA SILVERIO QUEIROZ</author>
  </authors>
  <commentList>
    <comment ref="B51" authorId="0" shapeId="0" xr:uid="{88F067C3-D404-444D-ABAF-145654A68268}">
      <text>
        <r>
          <rPr>
            <b/>
            <sz val="9"/>
            <color indexed="81"/>
            <rFont val="Segoe UI"/>
            <family val="2"/>
          </rPr>
          <t xml:space="preserve">EXPLICAÇÃO
</t>
        </r>
        <r>
          <rPr>
            <sz val="9"/>
            <color indexed="81"/>
            <rFont val="Segoe UI"/>
            <family val="2"/>
          </rPr>
          <t>Considere o volume total estimado de pessoas naturais únicas (titulares) cujos dados serão tratados no contexto do serviço.</t>
        </r>
      </text>
    </comment>
    <comment ref="Q51" authorId="0" shapeId="0" xr:uid="{02C7434B-E485-49F7-96A4-856C091FF6E0}">
      <text>
        <r>
          <rPr>
            <b/>
            <sz val="9"/>
            <color indexed="81"/>
            <rFont val="Segoe UI"/>
            <family val="2"/>
          </rPr>
          <t xml:space="preserve">EXPLICAÇÃO
</t>
        </r>
        <r>
          <rPr>
            <sz val="9"/>
            <color indexed="81"/>
            <rFont val="Segoe UI"/>
            <family val="2"/>
          </rPr>
          <t>Considere a quantidade média de dados pessoais diferentes tratados por titular (pessoas naturais únicas).</t>
        </r>
      </text>
    </comment>
    <comment ref="AG51" authorId="0" shapeId="0" xr:uid="{AAA0CD71-B877-4E72-B62D-71490FCBE6CE}">
      <text>
        <r>
          <rPr>
            <b/>
            <sz val="9"/>
            <color indexed="81"/>
            <rFont val="Segoe UI"/>
            <family val="2"/>
          </rPr>
          <t xml:space="preserve">EXPLICAÇÃO
</t>
        </r>
        <r>
          <rPr>
            <sz val="9"/>
            <color indexed="81"/>
            <rFont val="Segoe UI"/>
            <family val="2"/>
          </rPr>
          <t xml:space="preserve">Considere o tempo médio em que os dados pessoais permanecem armazenados e/ou utilizados, desde a coleta até eliminação ou anonimização.
</t>
        </r>
      </text>
    </comment>
    <comment ref="B54" authorId="0" shapeId="0" xr:uid="{B1E0D9B4-BE51-4FCA-B11B-56434649FB28}">
      <text>
        <r>
          <rPr>
            <b/>
            <sz val="9"/>
            <color indexed="81"/>
            <rFont val="Segoe UI"/>
            <family val="2"/>
          </rPr>
          <t>EXPLICAÇÃO</t>
        </r>
        <r>
          <rPr>
            <sz val="9"/>
            <color indexed="81"/>
            <rFont val="Segoe UI"/>
            <family val="2"/>
          </rPr>
          <t xml:space="preserve">
Considere com que frequência os dados são acessados, utilizados, atualizados ou processados, como processamentos automatizados (ex.: APIs, integrações, IA), acessos humanos e sistêmicos.
O que não considerar:
- Dados armazenados sem uso.</t>
        </r>
      </text>
    </comment>
    <comment ref="Q54" authorId="0" shapeId="0" xr:uid="{8A140F1E-CF95-4431-B613-4D2E0E6FFB5D}">
      <text>
        <r>
          <rPr>
            <b/>
            <sz val="9"/>
            <color indexed="81"/>
            <rFont val="Segoe UI"/>
            <family val="2"/>
          </rPr>
          <t>EXPLICAÇÃO</t>
        </r>
        <r>
          <rPr>
            <sz val="9"/>
            <color indexed="81"/>
            <rFont val="Segoe UI"/>
            <family val="2"/>
          </rPr>
          <t xml:space="preserve">
Selecione a opção que melhor representa onde estão os titulares e/ou onde ocorre o tratamento.
O que considerar:
- Localização dos titulares;
- Local de processamento/armazenamento (ex.: cloud fora do Brasil);
- Compartilhamentos internacionais.
Exemplo:
- Sistema atende clientes em todo o Brasil → Nacional;
- Dados armazenados nos EUA → Internacional.</t>
        </r>
      </text>
    </comment>
    <comment ref="B60" authorId="0" shapeId="0" xr:uid="{97740CBE-E083-4898-9441-4656A9BBBE41}">
      <text>
        <r>
          <rPr>
            <b/>
            <sz val="9"/>
            <color indexed="81"/>
            <rFont val="Segoe UI"/>
            <family val="2"/>
          </rPr>
          <t xml:space="preserve">EXPLICAÇÃO
</t>
        </r>
        <r>
          <rPr>
            <sz val="9"/>
            <color indexed="81"/>
            <rFont val="Segoe UI"/>
            <family val="2"/>
          </rPr>
          <t>Considerar decisão automatizada todo julgamento feito exclusivamente por máquina, com base em predição decorrente de tratamento automatizado de dados pessoais de entrada, segundo um modelo ou algoritmo condicionado por dados de treinamento, que afete imediatamente interesse juridicamente tutelado de pessoa natural, excetuados aqueles que tenham fins particulares e não econômicos, jornalísticos ou científicos.
Exemplos: definição de perfil pessoal, profissional, de consumo e de crédito, os aspectos de personalidade etc.</t>
        </r>
      </text>
    </comment>
  </commentList>
</comments>
</file>

<file path=xl/sharedStrings.xml><?xml version="1.0" encoding="utf-8"?>
<sst xmlns="http://schemas.openxmlformats.org/spreadsheetml/2006/main" count="190" uniqueCount="145">
  <si>
    <r>
      <t xml:space="preserve">CÓDIGO     </t>
    </r>
    <r>
      <rPr>
        <sz val="8"/>
        <color rgb="FF000000"/>
        <rFont val="Calibri"/>
        <family val="2"/>
        <scheme val="minor"/>
      </rPr>
      <t>FB.906</t>
    </r>
    <r>
      <rPr>
        <b/>
        <sz val="8"/>
        <color rgb="FF000000"/>
        <rFont val="Calibri"/>
        <family val="2"/>
        <scheme val="minor"/>
      </rPr>
      <t xml:space="preserve">
REVISÃO </t>
    </r>
    <r>
      <rPr>
        <sz val="8"/>
        <color rgb="FF000000"/>
        <rFont val="Calibri"/>
        <family val="2"/>
        <scheme val="minor"/>
      </rPr>
      <t xml:space="preserve">  .01</t>
    </r>
  </si>
  <si>
    <t>MODELO</t>
  </si>
  <si>
    <t>QUESTIONÁRIO PRELIMINAR DE TERCEIROS - PRIVACIDADE &amp; SEGURANÇA DA INFORMAÇÃO</t>
  </si>
  <si>
    <t>INFORMAÇÕES CADASTRAIS</t>
  </si>
  <si>
    <t>NOME DA EMPRESA (FANTASIA - RAZÃO SOCIAL)</t>
  </si>
  <si>
    <t>CNPJ</t>
  </si>
  <si>
    <t>TELEFONE DA EMPRESA</t>
  </si>
  <si>
    <t>SITE OFICIAL</t>
  </si>
  <si>
    <t>NOME DO ENCARREGADO (DPO)</t>
  </si>
  <si>
    <t>E-MAIL DO ENCARREGADO (DPO)</t>
  </si>
  <si>
    <t>NOME DO SUBSTITUTO DO ENCARREGADO (DPO)</t>
  </si>
  <si>
    <t>E-MAIL DO SUBSTITUTO DO ENCARREGADO (DPO)</t>
  </si>
  <si>
    <t>PONTO FOCAL NA UNIMED DO BRASIL</t>
  </si>
  <si>
    <t>ENDEREÇO COMERCIAL</t>
  </si>
  <si>
    <t>INSTRUÇÕES PARA PREENCHIMENTO DOS QUESTIONÁRIOS</t>
  </si>
  <si>
    <r>
      <t>Este questionário tem como objetivo avaliar o nível de maturidade da sua empresa em privacidade e proteção de dados pessoais e segurança da informação, no contexto dos serviços que 
poderão ser prestados à Unimed do Brasil.
Em regra, devem ser preenchidas as abas:
→</t>
    </r>
    <r>
      <rPr>
        <sz val="11"/>
        <rFont val="Calibri"/>
        <family val="2"/>
      </rPr>
      <t xml:space="preserve"> </t>
    </r>
    <r>
      <rPr>
        <sz val="11"/>
        <rFont val="Calibri"/>
        <family val="2"/>
        <scheme val="minor"/>
      </rPr>
      <t xml:space="preserve">Privacidade;
→ Inteligência Artificial;
→ Segurança da Informação.
</t>
    </r>
    <r>
      <rPr>
        <b/>
        <sz val="11"/>
        <color rgb="FFFF0000"/>
        <rFont val="Calibri"/>
        <family val="2"/>
        <scheme val="minor"/>
      </rPr>
      <t>Importante:</t>
    </r>
    <r>
      <rPr>
        <b/>
        <sz val="11"/>
        <rFont val="Calibri"/>
        <family val="2"/>
        <scheme val="minor"/>
      </rPr>
      <t xml:space="preserve"> </t>
    </r>
    <r>
      <rPr>
        <sz val="11"/>
        <rFont val="Calibri"/>
        <family val="2"/>
        <scheme val="minor"/>
      </rPr>
      <t xml:space="preserve">algumas abas podem conter orientações específicas com base nas respostas fornecidas. Por isso, leia atentamente as instruções ao longo do questionário 
e siga os direcionamentos indicados.
Para o correto preenchimento, considere:
→ As respostas devem refletir a realidade atual da sua empresa;
→ As informações das abas de Privacidade e Inteligência Artificial devem estar relacionadas ao produto ou serviço que será prestado à Unimed do Brasil;
→ Com relação à aba de Segurança da Informação, cada pergunta requer evidência;
→ Não é necessário utilizar linguagem técnica, priorize respostas claras e objetivas;
→ Em caso de dúvida, </t>
    </r>
    <r>
      <rPr>
        <b/>
        <sz val="11"/>
        <rFont val="Calibri"/>
        <family val="2"/>
        <scheme val="minor"/>
      </rPr>
      <t>recomendamos buscar apoio de profissionais da sua empresa com conhecimento em privacidade de dados pessoais e/ou segurança da informação</t>
    </r>
    <r>
      <rPr>
        <sz val="11"/>
        <rFont val="Calibri"/>
        <family val="2"/>
        <scheme val="minor"/>
      </rPr>
      <t xml:space="preserve">.
As informações fornecidas serão utilizadas como base para a avaliação de risco e maturidade, podendo impactar o processo de homologação da sua empresa como
 fornecedora da Unimed do Brasil.
</t>
    </r>
    <r>
      <rPr>
        <b/>
        <sz val="11"/>
        <rFont val="Calibri"/>
        <family val="2"/>
        <scheme val="minor"/>
      </rPr>
      <t xml:space="preserve">O preenchimento incorreto, incompleto ou inconsistente poderá comprometer a avaliação e resultar na não homologação.
</t>
    </r>
    <r>
      <rPr>
        <sz val="11"/>
        <rFont val="Calibri"/>
        <family val="2"/>
        <scheme val="minor"/>
      </rPr>
      <t xml:space="preserve">
Por fim, destacamos que a Unimed do Brasil é certificada nas normas ISO 27001 e ISO 27701, o que exige a adoção de critérios estruturados na avaliação de fornecedores, 
garantindo a segurança das informações e a proteção de dados pessoais em toda a cadeia.
Agradecemos a sua colaboração!
Equipe de Gestão da Privacidade de Dados da Unimed do Brasil
</t>
    </r>
    <r>
      <rPr>
        <sz val="8"/>
        <rFont val="Calibri"/>
        <family val="2"/>
        <scheme val="minor"/>
      </rPr>
      <t>Dúvidas: encaminhe um e-mail para encarregado-lgpd@unimed.coop.br</t>
    </r>
  </si>
  <si>
    <t>CONCEITOS</t>
  </si>
  <si>
    <r>
      <rPr>
        <b/>
        <sz val="11"/>
        <rFont val="Calibri"/>
        <family val="2"/>
        <scheme val="minor"/>
      </rPr>
      <t>1. Dado pessoal:</t>
    </r>
    <r>
      <rPr>
        <sz val="11"/>
        <rFont val="Calibri"/>
        <family val="2"/>
        <scheme val="minor"/>
      </rPr>
      <t xml:space="preserve"> informação relacionada a pessoa natural identificada ou identificável;
</t>
    </r>
    <r>
      <rPr>
        <b/>
        <sz val="11"/>
        <rFont val="Calibri"/>
        <family val="2"/>
        <scheme val="minor"/>
      </rPr>
      <t>2. Dado pessoal sensível:</t>
    </r>
    <r>
      <rPr>
        <sz val="11"/>
        <rFont val="Calibri"/>
        <family val="2"/>
        <scheme val="minor"/>
      </rPr>
      <t xml:space="preserve">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t>
    </r>
    <r>
      <rPr>
        <b/>
        <sz val="11"/>
        <rFont val="Calibri"/>
        <family val="2"/>
        <scheme val="minor"/>
      </rPr>
      <t xml:space="preserve">3. Titular de dados: </t>
    </r>
    <r>
      <rPr>
        <sz val="11"/>
        <rFont val="Calibri"/>
        <family val="2"/>
        <scheme val="minor"/>
      </rPr>
      <t xml:space="preserve">pessoa natural a quem se referem os dados pessoais que são objeto de tratamento;
</t>
    </r>
    <r>
      <rPr>
        <b/>
        <sz val="11"/>
        <rFont val="Calibri"/>
        <family val="2"/>
        <scheme val="minor"/>
      </rPr>
      <t>4. Controlador:</t>
    </r>
    <r>
      <rPr>
        <sz val="11"/>
        <rFont val="Calibri"/>
        <family val="2"/>
        <scheme val="minor"/>
      </rPr>
      <t xml:space="preserve"> pessoa natural ou jurídica, de direito público ou privado, a quem competem as decisões referentes ao tratamento de dados pessoais;
</t>
    </r>
    <r>
      <rPr>
        <b/>
        <sz val="11"/>
        <rFont val="Calibri"/>
        <family val="2"/>
        <scheme val="minor"/>
      </rPr>
      <t>5. Operador:</t>
    </r>
    <r>
      <rPr>
        <sz val="11"/>
        <rFont val="Calibri"/>
        <family val="2"/>
        <scheme val="minor"/>
      </rPr>
      <t xml:space="preserve"> pessoa natural ou jurídica, de direito público ou privado, que realiza o tratamento de dados pessoais em nome do controlador;
</t>
    </r>
    <r>
      <rPr>
        <b/>
        <sz val="11"/>
        <rFont val="Calibri"/>
        <family val="2"/>
        <scheme val="minor"/>
      </rPr>
      <t>6. Encarregado:</t>
    </r>
    <r>
      <rPr>
        <sz val="11"/>
        <rFont val="Calibri"/>
        <family val="2"/>
        <scheme val="minor"/>
      </rPr>
      <t xml:space="preserve"> pessoa indicada pelo controlador e operador para atuar como canal de comunicação entre o controlador, os titulares dos dados e a Agência Nacional de Proteção de Dados (ANPD);
</t>
    </r>
    <r>
      <rPr>
        <b/>
        <sz val="11"/>
        <rFont val="Calibri"/>
        <family val="2"/>
        <scheme val="minor"/>
      </rPr>
      <t>7. Agentes de tratamento:</t>
    </r>
    <r>
      <rPr>
        <sz val="11"/>
        <rFont val="Calibri"/>
        <family val="2"/>
        <scheme val="minor"/>
      </rPr>
      <t xml:space="preserve"> o controlador e o operador;
</t>
    </r>
    <r>
      <rPr>
        <b/>
        <sz val="11"/>
        <rFont val="Calibri"/>
        <family val="2"/>
        <scheme val="minor"/>
      </rPr>
      <t>8. Tratamento de dados:</t>
    </r>
    <r>
      <rPr>
        <sz val="11"/>
        <rFont val="Calibri"/>
        <family val="2"/>
        <scheme val="minor"/>
      </rPr>
      <t xml:space="preserve">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
</t>
    </r>
    <r>
      <rPr>
        <b/>
        <sz val="11"/>
        <rFont val="Calibri"/>
        <family val="2"/>
        <scheme val="minor"/>
      </rPr>
      <t>9. Transferência internacional de dados:</t>
    </r>
    <r>
      <rPr>
        <sz val="11"/>
        <rFont val="Calibri"/>
        <family val="2"/>
        <scheme val="minor"/>
      </rPr>
      <t xml:space="preserve"> transferência de dados pessoais para país estrangeiro ou organismo internacional do qual o país seja membro.</t>
    </r>
  </si>
  <si>
    <r>
      <t xml:space="preserve">CÓDIGO     </t>
    </r>
    <r>
      <rPr>
        <sz val="8"/>
        <color rgb="FF000000"/>
        <rFont val="Calibri"/>
        <family val="2"/>
        <scheme val="minor"/>
      </rPr>
      <t>FB.906</t>
    </r>
    <r>
      <rPr>
        <b/>
        <sz val="8"/>
        <color rgb="FF000000"/>
        <rFont val="Calibri"/>
        <family val="2"/>
        <scheme val="minor"/>
      </rPr>
      <t xml:space="preserve">
REVISÃO </t>
    </r>
    <r>
      <rPr>
        <sz val="8"/>
        <color rgb="FF000000"/>
        <rFont val="Calibri"/>
        <family val="2"/>
        <scheme val="minor"/>
      </rPr>
      <t xml:space="preserve">  .00X</t>
    </r>
  </si>
  <si>
    <t>QUESTIONÁRIO SOBRE PRIVACIDADE DE DADOS</t>
  </si>
  <si>
    <t>Em razão de eventual prestação de serviço/produto, sua empresa realizará tratamento de dados pessoais?</t>
  </si>
  <si>
    <t>Caso a resposta seja “NÃO”, não é necessário preencher a aba “PRIVACIDADE”. Basta seguir para as abas "INTELIGÊNCIA ARTIFICIAL" e "SEGURANÇA DA INFORMAÇÃO".</t>
  </si>
  <si>
    <r>
      <rPr>
        <b/>
        <sz val="8"/>
        <color rgb="FFFF0000"/>
        <rFont val="Calibri"/>
        <family val="2"/>
        <scheme val="minor"/>
      </rPr>
      <t>Atenção:</t>
    </r>
    <r>
      <rPr>
        <b/>
        <sz val="8"/>
        <rFont val="Calibri"/>
        <family val="2"/>
        <scheme val="minor"/>
      </rPr>
      <t xml:space="preserve"> </t>
    </r>
    <r>
      <rPr>
        <sz val="8"/>
        <rFont val="Calibri"/>
        <family val="2"/>
        <scheme val="minor"/>
      </rPr>
      <t>O preenchimento incorreto, incompleto ou inconsistente deste questionário preliminar poderá comprometer a avaliação e resultar na não homologação da sua empresa como fornecedora da Unimed do Brasil.</t>
    </r>
  </si>
  <si>
    <t xml:space="preserve">Durante a execução dos serviços para a Unimed do Brasil, qual das opções descreve como sua empresa tratará dados pessoais? </t>
  </si>
  <si>
    <t>Justifique o cenário escolhido acima:</t>
  </si>
  <si>
    <t>[escreva sua resposta]</t>
  </si>
  <si>
    <t>Sobre a possível prestação de serviço/produto para Unimed do Brasil, responda:</t>
  </si>
  <si>
    <t>O serviço prestado será a sustentação de infraestrutura tecnológica?</t>
  </si>
  <si>
    <t>Caso a resposta seja “SIM”, não é necessário responder às demais perguntas desta aba, mas verifique a instrução indicada no tópico “PRÓXIMOS PASSOS”, mais abaixo.</t>
  </si>
  <si>
    <t>1. Quais dados serão tratados?</t>
  </si>
  <si>
    <t>Caso tenha selecionado "Outro(s)", especifique:</t>
  </si>
  <si>
    <t>2. Indique a qual(is) titular(es) o(s) dado(s) se refere(m):</t>
  </si>
  <si>
    <t>3. Indique quais ações serão realizadas com os dados pessoais (ex.: acessar, consultar, armazenar) e para qual finalidade cada uma delas será utilizada (Ex.: Ação = visualização de dados pessoais / Finalidade = suporte ao software):</t>
  </si>
  <si>
    <t>4. Total de titulares cujos dados serão tratados:</t>
  </si>
  <si>
    <t>5. Média do volume de dados pessoais que serão tratados por titulares:</t>
  </si>
  <si>
    <t>6. Média de duração dos tratamento dos dados dos titulares:</t>
  </si>
  <si>
    <t>7. Média da frequência com que os dados dos titulares serão tratados:</t>
  </si>
  <si>
    <t>8. Extensão geográfica dos dados de titulares que serão tratados:</t>
  </si>
  <si>
    <t>9. O armazenamento dos dados pessoais é realizado fora do Brasil?</t>
  </si>
  <si>
    <t>9.1. Caso sua empresa utilize armazenamento ou tratamento de dados fora do Brasil, seria possível transferir essa operação para o Brasil para atender à Unimed do Brasil?</t>
  </si>
  <si>
    <t>10. Haverá decisões tomadas de forma automática (sem intervenção humana) com base em dados pessoais? Se sim, explique qual decisão será tomada e em que contexto.</t>
  </si>
  <si>
    <t>11. O tratamento de dados pessoais será realizado por meio de algum sistema específico ou por envio/recebimento de informações por e-mail ou aplicativos de mensagem (ex.: WhatsApp, Teams etc.)? Se sim, informe quais sistemas ou canais serão utilizados.</t>
  </si>
  <si>
    <t>12. Sua empresa utilizará inteligência artificial (IA) para tratar dados pessoais no contexto deste serviço?</t>
  </si>
  <si>
    <t>PRÓXIMOS PASSOS</t>
  </si>
  <si>
    <t>De acordo com a gestão de riscos de privacidade da Unimed do Brasil, o risco da sua empresa é</t>
  </si>
  <si>
    <t>SIGA A INSTRUÇÃO ABAIXO:</t>
  </si>
  <si>
    <t>Caso esteja na instrução acima, clique aqui para acessar o questionário detalhado</t>
  </si>
  <si>
    <t>Cenário 1 - Na execução do objeto contratual, sua empresa irá determinar os objetivos e a forma como os dados pessoais são tratados de forma autônoma (Controlador)</t>
  </si>
  <si>
    <t>Cenário 2 - Na execução do objeto contratual, sua empresa irá tratar dados pessoais de acordo com as orientações passados pela Unimed do Brasil (Operador)</t>
  </si>
  <si>
    <t>Cenário 3 - Na execução do objeto contratual, os 2 cenários anteriores se aplicam (Controlador e Operador).</t>
  </si>
  <si>
    <t>Menor que 10 mil</t>
  </si>
  <si>
    <t>Maior ou igual a 10 mil e menor que 500 mil</t>
  </si>
  <si>
    <t>Maior ou igual a 500 mil e menor que 1 milhão</t>
  </si>
  <si>
    <t>Maior ou igual a 1 milhão e menor que 1,5 milhão</t>
  </si>
  <si>
    <t>Maior ou igual a 1,5 milhão e menor que 2 milhões</t>
  </si>
  <si>
    <t>Maior ou igual a 2 milhões</t>
  </si>
  <si>
    <t>Menor ou igual a 5</t>
  </si>
  <si>
    <t>Maior que 5 e menor ou igual a 10</t>
  </si>
  <si>
    <t>Maior que 10 e menor ou igual a 20</t>
  </si>
  <si>
    <t>Maior que 20 e menor ou igual a 50</t>
  </si>
  <si>
    <t>Acima de 50</t>
  </si>
  <si>
    <t>Menor ou igual 1 ano</t>
  </si>
  <si>
    <t>Maior que 1 ano e menor ou igual a 5 anos</t>
  </si>
  <si>
    <t>Maior que 5 anos e menor ou igual a 10 anos</t>
  </si>
  <si>
    <t>Maior que 10 anos</t>
  </si>
  <si>
    <t>Anualmente</t>
  </si>
  <si>
    <t>Mensalmente</t>
  </si>
  <si>
    <t>Semanalmente</t>
  </si>
  <si>
    <t>Diariamente</t>
  </si>
  <si>
    <t>Múltiplas ocorrências diárias</t>
  </si>
  <si>
    <t>Municipal</t>
  </si>
  <si>
    <t>Estadual</t>
  </si>
  <si>
    <t>Regional (Norte, Nordeste, Centro-Oeste, Sudeste ou Sul)</t>
  </si>
  <si>
    <t>Nacional</t>
  </si>
  <si>
    <t>Internacional</t>
  </si>
  <si>
    <t>Sim</t>
  </si>
  <si>
    <t>Não</t>
  </si>
  <si>
    <t>Não se aplica</t>
  </si>
  <si>
    <t>QUESTIONÁRIO PRELIMINAR SOBRE GOVERNANÇA DE INTELIGÊNCIA ARTIFICIAL</t>
  </si>
  <si>
    <t>Considerando o produto ou serviço que será prestado, o presente questionário é aplicável à sua organização?</t>
  </si>
  <si>
    <t>Caso a resposta seja “NÃO”, não é necessário responder às demais perguntas da aba "Inteligência Artificial". Siga apenas para o preenchimento da aba “Segurança da Informação”.</t>
  </si>
  <si>
    <t>A solução de inteligência artificial é:</t>
  </si>
  <si>
    <t>Informe quais modelos ou ferramentas de inteligência artificial são utilizados na solução:</t>
  </si>
  <si>
    <t>Especifique conforme opção(ões) selecionada(s):</t>
  </si>
  <si>
    <t>Entendimento da solução de inteligência artificial</t>
  </si>
  <si>
    <t>1. Qual é a finalidade da solução de IA?</t>
  </si>
  <si>
    <t>2. Qual problema ela resolve?</t>
  </si>
  <si>
    <t>3. A solução toma decisões automatizadas que impactam pessoas?</t>
  </si>
  <si>
    <t>3.1. Em caso positivo, quais decisões?</t>
  </si>
  <si>
    <t>Uso de agentes</t>
  </si>
  <si>
    <t>1. A solução inclui agentes automatizados capazes de executar ações (ex.: enviar e-mails, acessar sistemas, realizar consultas ou transações)?</t>
  </si>
  <si>
    <t>Caso a resposta seja “SIM”, responda às demais perguntas da seção "USO DE AGENTES". Caso a resposta seja "NÃO", siga para as demais seções ("DADOS E PRIVACIDADE", "GOVERNANÇA E CONFIABILIDADE DA IA", "OPERAÇÃO E CONTINUIDADE").</t>
  </si>
  <si>
    <t>2. Quais tipos de ações esses agentes podem executar? (ex.: envio de e-mails, consultas em banco de dados, acesso a sistemas internos, integrações via API etc.)</t>
  </si>
  <si>
    <t>3. Os agentes possuem apenas as permissões necessárias para sua função (princípio do menor privilégio)?</t>
  </si>
  <si>
    <t>4. Ações sensíveis ou de maior impacto (ex.: envio de comunicações externas, transações, alterações de dados) exigem validação ou aprovação humana?</t>
  </si>
  <si>
    <t>5. Como são controladas e protegidas as integrações com sistemas externos (ex.: APIs, bancos de dados, sistemas internos)?</t>
  </si>
  <si>
    <t>Dados e Privacidade</t>
  </si>
  <si>
    <t>1. Quais tipos de dados são tratados pela solução (incluindo dados pessoais e sensíveis)?</t>
  </si>
  <si>
    <t>2. Os dados, inclusive informações de negócio, fornecidos pelo cliente são utilizados para treinamento ou melhoria do modelo?</t>
  </si>
  <si>
    <t>2.1. Se sim: é possível optar por não utilizar os dados (opt-out)?</t>
  </si>
  <si>
    <t>3. Onde os dados são armazenados e processados (país)?</t>
  </si>
  <si>
    <t>4. Como funciona a retenção e exclusão dos dados? (resposta descritiva curta)</t>
  </si>
  <si>
    <t>5. Existem medidas para garantir confidencialidade, integridade e disponibilidade?</t>
  </si>
  <si>
    <t>5.1. Descreva brevemente:</t>
  </si>
  <si>
    <t>Governança e Confiabilidade da IA</t>
  </si>
  <si>
    <t>1. O modelo foi testado e validado para sua finalidade?</t>
  </si>
  <si>
    <t>2. Existe monitoramento contínuo de erros ou falhas?</t>
  </si>
  <si>
    <t>3. A solução oferece explicação ou justificativa dos resultados?</t>
  </si>
  <si>
    <t>4. Foram avaliados riscos de viés ou discriminação?</t>
  </si>
  <si>
    <t>5. Existe possibilidade de revisão humana dos resultados?</t>
  </si>
  <si>
    <t>6. O fornecedor pode reutilizar dados ou outputs gerados?</t>
  </si>
  <si>
    <t>6.1. Se sim: explique</t>
  </si>
  <si>
    <t>Operação e Continuidade</t>
  </si>
  <si>
    <t>1. Em caso de encerramento do contrato, o que acontece com os dados?</t>
  </si>
  <si>
    <t>1.1. Explique a(s) opção(ões) selecionada(s):</t>
  </si>
  <si>
    <t>2. É possível exportar dados e logs?</t>
  </si>
  <si>
    <t>3. Existe SLA de suporte?</t>
  </si>
  <si>
    <t>3.1. Descreva</t>
  </si>
  <si>
    <t>Atenção: a depender das respostas fornecidas neste questionário, a área de Privacidade poderá solicitar o preenchimento de um questionário complementar mais detalhado, com foco na governança de inteligência artificial.</t>
  </si>
  <si>
    <t>Desenvolvida integralmente pelo fornecedor</t>
  </si>
  <si>
    <t>Desenvolvida por terceiro(s) e utilizada pelo fornecedor</t>
  </si>
  <si>
    <t>Híbrida (parte própria, parte de terceiros)</t>
  </si>
  <si>
    <t>Não sei</t>
  </si>
  <si>
    <t>Parcial</t>
  </si>
  <si>
    <t>Não sei aplica</t>
  </si>
  <si>
    <t>QUESTIONÁRIO SOBRE SEGURANÇA DA INFORMAÇÃO</t>
  </si>
  <si>
    <t>RESPOSTA</t>
  </si>
  <si>
    <t>JUSTIFIQUE 
(Somente se não)</t>
  </si>
  <si>
    <t>EVIDÊNCIA</t>
  </si>
  <si>
    <t>A empresa possui uma Política de Segurança da Informação formalizada e atualizada?</t>
  </si>
  <si>
    <r>
      <rPr>
        <b/>
        <sz val="11"/>
        <rFont val="Calibri"/>
        <family val="2"/>
        <scheme val="minor"/>
      </rPr>
      <t>A empresa executa gestão de controle de acesso, contemplando:</t>
    </r>
    <r>
      <rPr>
        <sz val="11"/>
        <rFont val="Calibri"/>
        <family val="2"/>
        <scheme val="minor"/>
      </rPr>
      <t xml:space="preserve">
</t>
    </r>
    <r>
      <rPr>
        <b/>
        <sz val="11"/>
        <rFont val="Calibri"/>
        <family val="2"/>
        <scheme val="minor"/>
      </rPr>
      <t>i.</t>
    </r>
    <r>
      <rPr>
        <sz val="11"/>
        <rFont val="Calibri"/>
        <family val="2"/>
        <scheme val="minor"/>
      </rPr>
      <t xml:space="preserve"> Todos os usuários, com níveis de permissão na proporção da necessidade dos respectivos trabalhos;
</t>
    </r>
    <r>
      <rPr>
        <b/>
        <sz val="11"/>
        <rFont val="Calibri"/>
        <family val="2"/>
        <scheme val="minor"/>
      </rPr>
      <t xml:space="preserve">ii. </t>
    </r>
    <r>
      <rPr>
        <sz val="11"/>
        <rFont val="Calibri"/>
        <family val="2"/>
        <scheme val="minor"/>
      </rPr>
      <t xml:space="preserve">Funcionalidades no sistema de controle de acesso que possam detectar e não permitir o uso de senhas que não respeitem um certo nível de complexidade;
</t>
    </r>
    <r>
      <rPr>
        <b/>
        <sz val="11"/>
        <rFont val="Calibri"/>
        <family val="2"/>
        <scheme val="minor"/>
      </rPr>
      <t>iii.</t>
    </r>
    <r>
      <rPr>
        <sz val="11"/>
        <rFont val="Calibri"/>
        <family val="2"/>
        <scheme val="minor"/>
      </rPr>
      <t xml:space="preserve"> Adequado gerenciamento de senhas, estabelecendo controles como evitar o uso de senhas padrão disponibilizadas pelos fornecedores de software ou hardware adquiridos, utilizar apenas senhas complexas para acessar aplicativos e outros sistemas informáticos e não reutilizar senhas;
</t>
    </r>
    <r>
      <rPr>
        <b/>
        <sz val="11"/>
        <rFont val="Calibri"/>
        <family val="2"/>
        <scheme val="minor"/>
      </rPr>
      <t>iv.</t>
    </r>
    <r>
      <rPr>
        <sz val="11"/>
        <rFont val="Calibri"/>
        <family val="2"/>
        <scheme val="minor"/>
      </rPr>
      <t xml:space="preserve"> Aplicação do princípio do menor privilégio;
</t>
    </r>
    <r>
      <rPr>
        <b/>
        <sz val="11"/>
        <rFont val="Calibri"/>
        <family val="2"/>
        <scheme val="minor"/>
      </rPr>
      <t>v.</t>
    </r>
    <r>
      <rPr>
        <sz val="11"/>
        <rFont val="Calibri"/>
        <family val="2"/>
        <scheme val="minor"/>
      </rPr>
      <t xml:space="preserve"> Utilização de autenticação multifator para acessar sistemas ou base de dados que contenham dados pessoais;
</t>
    </r>
    <r>
      <rPr>
        <b/>
        <sz val="11"/>
        <rFont val="Calibri"/>
        <family val="2"/>
        <scheme val="minor"/>
      </rPr>
      <t>vi.</t>
    </r>
    <r>
      <rPr>
        <sz val="11"/>
        <rFont val="Calibri"/>
        <family val="2"/>
        <scheme val="minor"/>
      </rPr>
      <t xml:space="preserve"> Sistema de controle de acesso aplicável a todos os usuários que acessam o sistema de TI;
</t>
    </r>
    <r>
      <rPr>
        <b/>
        <sz val="11"/>
        <rFont val="Calibri"/>
        <family val="2"/>
        <scheme val="minor"/>
      </rPr>
      <t>vii.</t>
    </r>
    <r>
      <rPr>
        <sz val="11"/>
        <rFont val="Calibri"/>
        <family val="2"/>
        <scheme val="minor"/>
      </rPr>
      <t xml:space="preserve"> Existe controle de acesso físico às instalações onde os dados são processados/armazenados (catracas, câmeras, registro de visitantes)?</t>
    </r>
  </si>
  <si>
    <r>
      <rPr>
        <b/>
        <sz val="11"/>
        <rFont val="Calibri"/>
        <family val="2"/>
        <scheme val="minor"/>
      </rPr>
      <t>A empresa possui mecanismos de proteção de terminais (endpoints), redes e servidores que contemplem:</t>
    </r>
    <r>
      <rPr>
        <sz val="11"/>
        <rFont val="Calibri"/>
        <family val="2"/>
        <scheme val="minor"/>
      </rPr>
      <t xml:space="preserve">
</t>
    </r>
    <r>
      <rPr>
        <b/>
        <sz val="11"/>
        <rFont val="Calibri"/>
        <family val="2"/>
        <scheme val="minor"/>
      </rPr>
      <t>i.</t>
    </r>
    <r>
      <rPr>
        <sz val="11"/>
        <rFont val="Calibri"/>
        <family val="2"/>
        <scheme val="minor"/>
      </rPr>
      <t xml:space="preserve"> firewall de nova geração (Next-Generation Firewall) para proteção de rede?
</t>
    </r>
    <r>
      <rPr>
        <b/>
        <sz val="11"/>
        <rFont val="Calibri"/>
        <family val="2"/>
        <scheme val="minor"/>
      </rPr>
      <t>ii.</t>
    </r>
    <r>
      <rPr>
        <sz val="11"/>
        <rFont val="Calibri"/>
        <family val="2"/>
        <scheme val="minor"/>
      </rPr>
      <t xml:space="preserve"> o uso de antivírus/antimalware com atualização automática;
</t>
    </r>
    <r>
      <rPr>
        <b/>
        <sz val="11"/>
        <rFont val="Calibri"/>
        <family val="2"/>
        <scheme val="minor"/>
      </rPr>
      <t>iii.</t>
    </r>
    <r>
      <rPr>
        <sz val="11"/>
        <rFont val="Calibri"/>
        <family val="2"/>
        <scheme val="minor"/>
      </rPr>
      <t xml:space="preserve"> ferramentas de segurança de e-mail (AntiSpam e filtros); e 
</t>
    </r>
    <r>
      <rPr>
        <b/>
        <sz val="11"/>
        <rFont val="Calibri"/>
        <family val="2"/>
        <scheme val="minor"/>
      </rPr>
      <t>iv.</t>
    </r>
    <r>
      <rPr>
        <sz val="11"/>
        <rFont val="Calibri"/>
        <family val="2"/>
        <scheme val="minor"/>
      </rPr>
      <t xml:space="preserve"> controles contra a transferência não autorizada de dados para dispositivos externos (pendrives e discos rígidos)?</t>
    </r>
  </si>
  <si>
    <t>A empresa realiza backups regulares dos dados (Diário, Semanal, Mensal)?</t>
  </si>
  <si>
    <t>Os backups são testados periodicamente para garantir a recuperação dos dados?</t>
  </si>
  <si>
    <t>Existe um plano de continuidade de negócios e recuperação de desastres documentado e testado?</t>
  </si>
  <si>
    <t>Os colaboradores recebem treinamento anual sobre segurança da informação (phishing, senhas, proteção de dados)?</t>
  </si>
  <si>
    <t>A empresa possui acordo de confidencialidade (NDA) com todos os funcionários da empresa?</t>
  </si>
  <si>
    <t>Existe processo formal de gestão de incidentes de segurança (detecção, resposta, comunicação)?</t>
  </si>
  <si>
    <t>Os dados são criptografados durante transmissão (HTTPS, VPN, TLS) e em repouso (disco, backup)?</t>
  </si>
  <si>
    <t>A empresa possui controle para evitar a transferência de dados pessoais de estações de trabalho para dispositivos de armazenamento externo, como pendrives e discos rígidos externos?</t>
  </si>
  <si>
    <t>Existe processo de revisão periódica de acessos de usuários (trimestral ou semestral)?</t>
  </si>
  <si>
    <t>A empresa realiza testes de vulnerabilidade ou análise de segurança (pentest, scan de vulnerabilidades)?</t>
  </si>
  <si>
    <t>Existe política e processo para descarte seguro de mídias e equipamentos (destruição, sanitização)?</t>
  </si>
  <si>
    <t>Sobre serviço de nuvem: a empresa possui contrato de acordo de nível de serviço com o provedor de serviços em nuvem, contemplando a segurança dos dados armazenados?</t>
  </si>
  <si>
    <r>
      <rPr>
        <b/>
        <sz val="14"/>
        <rFont val="Calibri"/>
        <family val="2"/>
        <scheme val="minor"/>
      </rPr>
      <t>Sobre o preenchimento deste questionário</t>
    </r>
    <r>
      <rPr>
        <sz val="11"/>
        <rFont val="Calibri"/>
        <family val="2"/>
        <scheme val="minor"/>
      </rPr>
      <t xml:space="preserve">
As respostas fornecidas neste questionário serão utilizadas para avaliar o nível de maturidade em segurança da informação da sua organização e compõem a análise de risco exigida pelo nosso processo de homologação de fornecedores.
Por esse motivo, cada pergunta requer uma evidência — um documento, print, política, relatório ou descrição do processo — que comprove a prática declarada. Respostas acompanhadas de evidência têm maior peso na avaliação final. Respostas sem evidência são consideradas, porém com peso reduzido.
O objetivo é entender a realidade da sua organização. Uma resposta parcial bem evidenciada tem mais valor do que uma resposta positiva sem comprovação.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</si>
</sst>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8"/>
      <color rgb="FF000000"/>
      <name val="Calibri"/>
      <family val="2"/>
      <scheme val="minor"/>
    </font>
    <font>
      <sz val="8"/>
      <color rgb="FF000000"/>
      <name val="Calibri"/>
      <family val="2"/>
      <scheme val="minor"/>
    </font>
    <font>
      <b/>
      <sz val="16"/>
      <name val="Calibri"/>
      <family val="2"/>
      <scheme val="minor"/>
    </font>
    <font>
      <b/>
      <sz val="14"/>
      <color rgb="FF008B50"/>
      <name val="Calibri"/>
      <family val="2"/>
      <scheme val="minor"/>
    </font>
    <font>
      <b/>
      <sz val="8"/>
      <color rgb="FFB88324"/>
      <name val="Calibri"/>
      <family val="2"/>
      <scheme val="minor"/>
    </font>
    <font>
      <sz val="8"/>
      <name val="Calibri"/>
      <family val="2"/>
      <scheme val="minor"/>
    </font>
    <font>
      <b/>
      <sz val="10"/>
      <name val="Calibri"/>
      <family val="2"/>
      <scheme val="minor"/>
    </font>
    <font>
      <b/>
      <sz val="14"/>
      <name val="Calibri"/>
      <family val="2"/>
      <scheme val="minor"/>
    </font>
    <font>
      <sz val="11"/>
      <name val="Calibri"/>
      <family val="2"/>
      <scheme val="minor"/>
    </font>
    <font>
      <b/>
      <sz val="11"/>
      <name val="Calibri"/>
      <family val="2"/>
      <scheme val="minor"/>
    </font>
    <font>
      <b/>
      <sz val="11"/>
      <color rgb="FFFF0000"/>
      <name val="Calibri"/>
      <family val="2"/>
      <scheme val="minor"/>
    </font>
    <font>
      <b/>
      <sz val="12"/>
      <name val="Calibri"/>
      <family val="2"/>
      <scheme val="minor"/>
    </font>
    <font>
      <sz val="12"/>
      <name val="Calibri"/>
      <family val="2"/>
      <scheme val="minor"/>
    </font>
    <font>
      <b/>
      <sz val="8"/>
      <name val="Calibri"/>
      <family val="2"/>
      <scheme val="minor"/>
    </font>
    <font>
      <sz val="9"/>
      <color indexed="81"/>
      <name val="Segoe UI"/>
      <family val="2"/>
    </font>
    <font>
      <b/>
      <sz val="9"/>
      <color indexed="81"/>
      <name val="Segoe UI"/>
      <family val="2"/>
    </font>
    <font>
      <b/>
      <sz val="8"/>
      <color rgb="FFFF0000"/>
      <name val="Calibri"/>
      <family val="2"/>
      <scheme val="minor"/>
    </font>
    <font>
      <u/>
      <sz val="11"/>
      <color theme="10"/>
      <name val="Calibri"/>
      <family val="2"/>
      <scheme val="minor"/>
    </font>
    <font>
      <u/>
      <sz val="11"/>
      <color theme="9" tint="-0.499984740745262"/>
      <name val="Calibri"/>
      <family val="2"/>
      <scheme val="minor"/>
    </font>
    <font>
      <sz val="11"/>
      <name val="Calibri"/>
      <family val="2"/>
    </font>
    <font>
      <sz val="10"/>
      <color theme="1"/>
      <name val="Calibri"/>
      <family val="2"/>
      <scheme val="minor"/>
    </font>
    <font>
      <sz val="1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F2F2F2"/>
        <bgColor rgb="FFF2F2F2"/>
      </patternFill>
    </fill>
  </fills>
  <borders count="40">
    <border>
      <left/>
      <right/>
      <top/>
      <bottom/>
      <diagonal/>
    </border>
    <border>
      <left/>
      <right/>
      <top/>
      <bottom style="thick">
        <color rgb="FF008B50"/>
      </bottom>
      <diagonal/>
    </border>
    <border>
      <left style="thin">
        <color indexed="64"/>
      </left>
      <right/>
      <top/>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right style="thin">
        <color indexed="64"/>
      </right>
      <top style="thin">
        <color theme="0" tint="-0.499984740745262"/>
      </top>
      <bottom style="thin">
        <color theme="0" tint="-0.499984740745262"/>
      </bottom>
      <diagonal/>
    </border>
    <border>
      <left style="thin">
        <color theme="0" tint="-0.499984740745262"/>
      </left>
      <right/>
      <top/>
      <bottom style="thin">
        <color indexed="64"/>
      </bottom>
      <diagonal/>
    </border>
  </borders>
  <cellStyleXfs count="2">
    <xf numFmtId="0" fontId="0" fillId="0" borderId="0"/>
    <xf numFmtId="0" fontId="18" fillId="0" borderId="0" applyNumberFormat="0" applyFill="0" applyBorder="0" applyAlignment="0" applyProtection="0"/>
  </cellStyleXfs>
  <cellXfs count="139">
    <xf numFmtId="0" fontId="0" fillId="0" borderId="0" xfId="0"/>
    <xf numFmtId="0" fontId="3" fillId="0" borderId="0" xfId="0" applyFont="1" applyAlignment="1" applyProtection="1">
      <alignment horizontal="left" wrapText="1" indent="1"/>
      <protection hidden="1"/>
    </xf>
    <xf numFmtId="0" fontId="4" fillId="0" borderId="0" xfId="0" applyFont="1" applyAlignment="1" applyProtection="1">
      <alignment horizontal="left" vertical="top" wrapText="1" indent="1"/>
      <protection hidden="1"/>
    </xf>
    <xf numFmtId="0" fontId="1" fillId="0" borderId="1" xfId="0" applyFont="1" applyBorder="1" applyAlignment="1" applyProtection="1">
      <alignment horizontal="left" vertical="center" wrapText="1" indent="3"/>
      <protection hidden="1"/>
    </xf>
    <xf numFmtId="0" fontId="2" fillId="0" borderId="1" xfId="0" applyFont="1" applyBorder="1" applyAlignment="1" applyProtection="1">
      <alignment horizontal="justify" vertical="top" wrapText="1"/>
      <protection hidden="1"/>
    </xf>
    <xf numFmtId="0" fontId="5" fillId="0" borderId="1" xfId="0" applyFont="1" applyBorder="1" applyAlignment="1" applyProtection="1">
      <alignment vertical="center"/>
      <protection hidden="1"/>
    </xf>
    <xf numFmtId="0" fontId="6" fillId="0" borderId="1" xfId="0" applyFont="1" applyBorder="1" applyAlignment="1" applyProtection="1">
      <alignment horizontal="center" vertical="center"/>
      <protection hidden="1"/>
    </xf>
    <xf numFmtId="0" fontId="9" fillId="0" borderId="0" xfId="0" applyFont="1" applyAlignment="1">
      <alignment horizontal="left" vertical="center"/>
    </xf>
    <xf numFmtId="0" fontId="10" fillId="0" borderId="0" xfId="0" applyFont="1" applyAlignment="1">
      <alignment horizontal="center" vertical="center"/>
    </xf>
    <xf numFmtId="0" fontId="9" fillId="0" borderId="0" xfId="0" applyFont="1"/>
    <xf numFmtId="0" fontId="9" fillId="0" borderId="0" xfId="0" applyFont="1" applyAlignment="1">
      <alignment wrapText="1"/>
    </xf>
    <xf numFmtId="0" fontId="9" fillId="0" borderId="0" xfId="0" applyFont="1" applyAlignment="1">
      <alignment horizontal="left" vertical="top"/>
    </xf>
    <xf numFmtId="0" fontId="12" fillId="0" borderId="0" xfId="0" applyFont="1" applyAlignment="1">
      <alignment horizontal="left" vertical="center"/>
    </xf>
    <xf numFmtId="0" fontId="10" fillId="2" borderId="26" xfId="0" applyFont="1" applyFill="1" applyBorder="1" applyAlignment="1">
      <alignment horizontal="center" vertical="center" wrapText="1"/>
    </xf>
    <xf numFmtId="0" fontId="10" fillId="2" borderId="26" xfId="0" applyFont="1" applyFill="1" applyBorder="1" applyAlignment="1">
      <alignment horizontal="center" vertical="center"/>
    </xf>
    <xf numFmtId="0" fontId="9" fillId="2" borderId="14" xfId="0" applyFont="1" applyFill="1" applyBorder="1" applyAlignment="1">
      <alignment vertical="center"/>
    </xf>
    <xf numFmtId="0" fontId="10" fillId="0" borderId="26" xfId="0" applyFont="1" applyBorder="1" applyAlignment="1">
      <alignment horizontal="center" vertical="center"/>
    </xf>
    <xf numFmtId="0" fontId="9" fillId="4" borderId="26" xfId="0" applyFont="1" applyFill="1" applyBorder="1" applyAlignment="1">
      <alignment horizontal="center" vertical="center"/>
    </xf>
    <xf numFmtId="0" fontId="19" fillId="0" borderId="16" xfId="1" applyFont="1" applyBorder="1" applyAlignment="1">
      <alignment horizontal="left" vertical="center"/>
    </xf>
    <xf numFmtId="0" fontId="22" fillId="0" borderId="0" xfId="0" applyFont="1" applyAlignment="1">
      <alignment horizontal="left" vertical="center"/>
    </xf>
    <xf numFmtId="0" fontId="22" fillId="0" borderId="4" xfId="0" applyFont="1" applyBorder="1" applyAlignment="1">
      <alignment vertical="center"/>
    </xf>
    <xf numFmtId="0" fontId="22" fillId="0" borderId="5" xfId="0" applyFont="1" applyBorder="1" applyAlignment="1">
      <alignment vertical="center"/>
    </xf>
    <xf numFmtId="0" fontId="9" fillId="0" borderId="4" xfId="0"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7" fillId="3" borderId="4" xfId="0" applyFont="1" applyFill="1" applyBorder="1" applyAlignment="1">
      <alignment vertical="center"/>
    </xf>
    <xf numFmtId="0" fontId="8" fillId="2" borderId="0" xfId="0" applyFont="1" applyFill="1" applyAlignment="1">
      <alignment vertical="center"/>
    </xf>
    <xf numFmtId="0" fontId="7" fillId="0" borderId="2" xfId="0" applyFont="1" applyBorder="1" applyAlignment="1" applyProtection="1">
      <alignment horizontal="left" wrapText="1" indent="1"/>
      <protection hidden="1"/>
    </xf>
    <xf numFmtId="0" fontId="7" fillId="0" borderId="0" xfId="0" applyFont="1" applyAlignment="1" applyProtection="1">
      <alignment horizontal="left" wrapText="1" indent="1"/>
      <protection hidden="1"/>
    </xf>
    <xf numFmtId="0" fontId="4" fillId="0" borderId="2" xfId="0" applyFont="1" applyBorder="1" applyAlignment="1" applyProtection="1">
      <alignment horizontal="left" vertical="top" wrapText="1" indent="1"/>
      <protection hidden="1"/>
    </xf>
    <xf numFmtId="0" fontId="4" fillId="0" borderId="0" xfId="0" applyFont="1" applyAlignment="1" applyProtection="1">
      <alignment horizontal="left" vertical="top" wrapText="1" indent="1"/>
      <protection hidden="1"/>
    </xf>
    <xf numFmtId="0" fontId="1" fillId="0" borderId="0" xfId="0" applyFont="1" applyAlignment="1" applyProtection="1">
      <alignment horizontal="left" vertical="center" wrapText="1" indent="1"/>
      <protection hidden="1"/>
    </xf>
    <xf numFmtId="0" fontId="1" fillId="0" borderId="3" xfId="0" applyFont="1" applyBorder="1" applyAlignment="1" applyProtection="1">
      <alignment horizontal="left" vertical="center" wrapText="1" indent="1"/>
      <protection hidden="1"/>
    </xf>
    <xf numFmtId="0" fontId="7" fillId="2" borderId="0" xfId="0" applyFont="1" applyFill="1" applyAlignment="1">
      <alignment horizontal="left" vertical="center"/>
    </xf>
    <xf numFmtId="0" fontId="21" fillId="2" borderId="0" xfId="0" applyFont="1" applyFill="1" applyAlignment="1">
      <alignment horizontal="left" vertical="center"/>
    </xf>
    <xf numFmtId="0" fontId="21" fillId="2" borderId="3" xfId="0" applyFont="1" applyFill="1" applyBorder="1" applyAlignment="1">
      <alignment horizontal="left" vertical="center"/>
    </xf>
    <xf numFmtId="0" fontId="7" fillId="3" borderId="4" xfId="0" applyFont="1" applyFill="1" applyBorder="1" applyAlignment="1">
      <alignment horizontal="left" vertical="center"/>
    </xf>
    <xf numFmtId="0" fontId="10" fillId="0" borderId="4" xfId="0" applyFont="1" applyBorder="1" applyAlignment="1">
      <alignment horizontal="left" vertical="center"/>
    </xf>
    <xf numFmtId="0" fontId="7" fillId="3" borderId="33" xfId="0" applyFont="1" applyFill="1" applyBorder="1" applyAlignment="1">
      <alignment horizontal="left" vertical="center"/>
    </xf>
    <xf numFmtId="0" fontId="7" fillId="3" borderId="34" xfId="0" applyFont="1" applyFill="1" applyBorder="1" applyAlignment="1">
      <alignment horizontal="left" vertical="center"/>
    </xf>
    <xf numFmtId="0" fontId="7" fillId="3" borderId="35" xfId="0" applyFont="1" applyFill="1" applyBorder="1" applyAlignment="1">
      <alignment horizontal="left" vertical="center"/>
    </xf>
    <xf numFmtId="0" fontId="9" fillId="0" borderId="0" xfId="0" applyFont="1" applyAlignment="1">
      <alignment horizontal="left" vertical="top" wrapText="1"/>
    </xf>
    <xf numFmtId="0" fontId="9" fillId="0" borderId="0" xfId="0" applyFont="1" applyAlignment="1">
      <alignment horizontal="left" vertical="top"/>
    </xf>
    <xf numFmtId="0" fontId="9" fillId="0" borderId="6" xfId="0" applyFont="1" applyBorder="1" applyAlignment="1">
      <alignment horizontal="left" vertical="center"/>
    </xf>
    <xf numFmtId="0" fontId="9" fillId="0" borderId="7" xfId="0" applyFont="1" applyBorder="1" applyAlignment="1">
      <alignment horizontal="left" vertical="center"/>
    </xf>
    <xf numFmtId="0" fontId="9" fillId="0" borderId="9" xfId="0" applyFont="1" applyBorder="1" applyAlignment="1">
      <alignment horizontal="left" vertical="center"/>
    </xf>
    <xf numFmtId="0" fontId="9" fillId="0" borderId="8" xfId="0" applyFont="1" applyBorder="1" applyAlignment="1">
      <alignment horizontal="left" vertical="center"/>
    </xf>
    <xf numFmtId="0" fontId="9" fillId="0" borderId="0" xfId="0" applyFont="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0" xfId="0" applyFont="1" applyAlignment="1">
      <alignment horizontal="center" vertical="center"/>
    </xf>
    <xf numFmtId="0" fontId="22" fillId="0" borderId="4" xfId="0" applyFont="1" applyBorder="1" applyAlignment="1">
      <alignment horizontal="left" vertical="center"/>
    </xf>
    <xf numFmtId="0" fontId="22" fillId="0" borderId="5" xfId="0" applyFont="1" applyBorder="1" applyAlignment="1">
      <alignment horizontal="left" vertical="center"/>
    </xf>
    <xf numFmtId="0" fontId="8" fillId="2" borderId="0" xfId="0" applyFont="1" applyFill="1" applyAlignment="1">
      <alignment horizontal="left" vertical="center"/>
    </xf>
    <xf numFmtId="0" fontId="22" fillId="0" borderId="33" xfId="0" applyFont="1" applyBorder="1" applyAlignment="1">
      <alignment horizontal="center" vertical="center"/>
    </xf>
    <xf numFmtId="0" fontId="22" fillId="0" borderId="34" xfId="0" applyFont="1" applyBorder="1" applyAlignment="1">
      <alignment horizontal="center" vertical="center"/>
    </xf>
    <xf numFmtId="0" fontId="22" fillId="0" borderId="38" xfId="0" applyFont="1" applyBorder="1" applyAlignment="1">
      <alignment horizontal="center" vertical="center"/>
    </xf>
    <xf numFmtId="0" fontId="9" fillId="0" borderId="39" xfId="0" applyFont="1" applyBorder="1" applyAlignment="1">
      <alignment horizontal="center" vertical="center"/>
    </xf>
    <xf numFmtId="0" fontId="9" fillId="0" borderId="27" xfId="0" applyFont="1" applyBorder="1" applyAlignment="1">
      <alignment horizontal="center" vertical="center"/>
    </xf>
    <xf numFmtId="0" fontId="9" fillId="0" borderId="32" xfId="0" applyFont="1" applyBorder="1" applyAlignment="1">
      <alignment horizontal="center" vertical="center"/>
    </xf>
    <xf numFmtId="0" fontId="22" fillId="0" borderId="35"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7" fillId="3" borderId="33" xfId="0" applyFont="1" applyFill="1" applyBorder="1" applyAlignment="1">
      <alignment horizontal="left"/>
    </xf>
    <xf numFmtId="0" fontId="7" fillId="3" borderId="34" xfId="0" applyFont="1" applyFill="1" applyBorder="1" applyAlignment="1">
      <alignment horizontal="left"/>
    </xf>
    <xf numFmtId="0" fontId="7" fillId="3" borderId="35" xfId="0" applyFont="1" applyFill="1" applyBorder="1" applyAlignment="1">
      <alignment horizontal="left"/>
    </xf>
    <xf numFmtId="0" fontId="8" fillId="2" borderId="14" xfId="0" applyFont="1" applyFill="1" applyBorder="1" applyAlignment="1">
      <alignment horizontal="left" vertical="center"/>
    </xf>
    <xf numFmtId="0" fontId="0" fillId="2" borderId="14" xfId="0" applyFill="1" applyBorder="1" applyAlignment="1">
      <alignment horizontal="left" vertical="center"/>
    </xf>
    <xf numFmtId="0" fontId="10" fillId="3" borderId="14" xfId="0" applyFont="1" applyFill="1" applyBorder="1" applyAlignment="1">
      <alignment horizontal="left"/>
    </xf>
    <xf numFmtId="0" fontId="10" fillId="3" borderId="14" xfId="0" applyFont="1" applyFill="1" applyBorder="1" applyAlignment="1">
      <alignment horizontal="left" vertical="center" wrapText="1"/>
    </xf>
    <xf numFmtId="0" fontId="9" fillId="0" borderId="14" xfId="0" applyFont="1" applyBorder="1" applyAlignment="1">
      <alignment horizontal="left" vertical="center"/>
    </xf>
    <xf numFmtId="0" fontId="9" fillId="0" borderId="14" xfId="0" applyFont="1" applyBorder="1" applyAlignment="1">
      <alignment horizontal="left"/>
    </xf>
    <xf numFmtId="0" fontId="10" fillId="3" borderId="14" xfId="0" applyFont="1" applyFill="1" applyBorder="1" applyAlignment="1">
      <alignment horizontal="left" vertical="center"/>
    </xf>
    <xf numFmtId="0" fontId="9" fillId="0" borderId="14" xfId="0" applyFont="1" applyBorder="1" applyAlignment="1">
      <alignment horizontal="left" vertical="top"/>
    </xf>
    <xf numFmtId="0" fontId="10" fillId="3" borderId="23" xfId="0" applyFont="1" applyFill="1" applyBorder="1" applyAlignment="1">
      <alignment horizontal="left" wrapText="1"/>
    </xf>
    <xf numFmtId="0" fontId="10" fillId="3" borderId="24" xfId="0" applyFont="1" applyFill="1" applyBorder="1" applyAlignment="1">
      <alignment horizontal="left"/>
    </xf>
    <xf numFmtId="0" fontId="10" fillId="3" borderId="25" xfId="0" applyFont="1" applyFill="1" applyBorder="1" applyAlignment="1">
      <alignment horizontal="left"/>
    </xf>
    <xf numFmtId="0" fontId="9" fillId="0" borderId="15" xfId="0" applyFont="1" applyBorder="1" applyAlignment="1">
      <alignment horizontal="left" vertical="top"/>
    </xf>
    <xf numFmtId="0" fontId="9" fillId="0" borderId="16" xfId="0" applyFont="1" applyBorder="1" applyAlignment="1">
      <alignment horizontal="left" vertical="top"/>
    </xf>
    <xf numFmtId="0" fontId="9" fillId="0" borderId="17" xfId="0" applyFont="1" applyBorder="1" applyAlignment="1">
      <alignment horizontal="left" vertical="top"/>
    </xf>
    <xf numFmtId="0" fontId="9" fillId="0" borderId="18" xfId="0" applyFont="1" applyBorder="1" applyAlignment="1">
      <alignment horizontal="left" vertical="top"/>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12" fillId="3" borderId="14" xfId="0" applyFont="1" applyFill="1" applyBorder="1" applyAlignment="1">
      <alignment horizontal="left" vertical="center"/>
    </xf>
    <xf numFmtId="0" fontId="13" fillId="0" borderId="14"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0" xfId="0" applyFont="1" applyAlignment="1">
      <alignment horizontal="center" vertical="center"/>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6" fillId="0" borderId="16" xfId="0" applyFont="1" applyBorder="1" applyAlignment="1">
      <alignment horizontal="left"/>
    </xf>
    <xf numFmtId="0" fontId="6" fillId="0" borderId="0" xfId="0" applyFont="1" applyAlignment="1">
      <alignment horizontal="left" vertical="center"/>
    </xf>
    <xf numFmtId="0" fontId="10" fillId="3" borderId="23" xfId="0" applyFont="1" applyFill="1" applyBorder="1" applyAlignment="1">
      <alignment horizontal="left"/>
    </xf>
    <xf numFmtId="0" fontId="12" fillId="0" borderId="14" xfId="0" applyFont="1" applyBorder="1" applyAlignment="1">
      <alignment horizontal="left" vertical="center"/>
    </xf>
    <xf numFmtId="0" fontId="10" fillId="0" borderId="14" xfId="0" applyFont="1" applyBorder="1" applyAlignment="1">
      <alignment horizontal="left" vertical="center"/>
    </xf>
    <xf numFmtId="0" fontId="9" fillId="0" borderId="14" xfId="0" applyFont="1" applyBorder="1" applyAlignment="1">
      <alignment horizontal="center" vertical="center"/>
    </xf>
    <xf numFmtId="0" fontId="9" fillId="0" borderId="23" xfId="0" applyFont="1" applyBorder="1" applyAlignment="1">
      <alignment horizontal="left" vertical="top"/>
    </xf>
    <xf numFmtId="0" fontId="9" fillId="0" borderId="24" xfId="0" applyFont="1" applyBorder="1" applyAlignment="1">
      <alignment horizontal="left" vertical="top"/>
    </xf>
    <xf numFmtId="0" fontId="9" fillId="0" borderId="25" xfId="0" applyFont="1" applyBorder="1" applyAlignment="1">
      <alignment horizontal="left" vertical="top"/>
    </xf>
    <xf numFmtId="0" fontId="14" fillId="0" borderId="23" xfId="0" applyFont="1" applyBorder="1" applyAlignment="1">
      <alignment horizontal="left" vertical="center"/>
    </xf>
    <xf numFmtId="0" fontId="14" fillId="0" borderId="24" xfId="0" applyFont="1" applyBorder="1" applyAlignment="1">
      <alignment horizontal="left" vertical="center"/>
    </xf>
    <xf numFmtId="0" fontId="14" fillId="0" borderId="25" xfId="0" applyFont="1" applyBorder="1" applyAlignment="1">
      <alignment horizontal="left" vertical="center"/>
    </xf>
    <xf numFmtId="0" fontId="9" fillId="2" borderId="14" xfId="0" applyFont="1" applyFill="1" applyBorder="1" applyAlignment="1">
      <alignment horizontal="left" vertical="center"/>
    </xf>
    <xf numFmtId="0" fontId="10" fillId="3" borderId="23" xfId="0" applyFont="1" applyFill="1" applyBorder="1" applyAlignment="1">
      <alignment horizontal="left" vertical="center"/>
    </xf>
    <xf numFmtId="0" fontId="10" fillId="3" borderId="24" xfId="0" applyFont="1" applyFill="1" applyBorder="1" applyAlignment="1">
      <alignment horizontal="left" vertical="center"/>
    </xf>
    <xf numFmtId="0" fontId="10" fillId="3" borderId="25" xfId="0" applyFont="1" applyFill="1" applyBorder="1" applyAlignment="1">
      <alignment horizontal="left" vertical="center"/>
    </xf>
    <xf numFmtId="0" fontId="8" fillId="2" borderId="16" xfId="0" applyFont="1" applyFill="1" applyBorder="1" applyAlignment="1">
      <alignment horizontal="left" vertical="center" wrapText="1"/>
    </xf>
    <xf numFmtId="0" fontId="8" fillId="2" borderId="0" xfId="0" applyFont="1" applyFill="1" applyAlignment="1">
      <alignment horizontal="left" vertical="center" wrapText="1"/>
    </xf>
    <xf numFmtId="0" fontId="14" fillId="0" borderId="14" xfId="0" applyFont="1" applyBorder="1" applyAlignment="1">
      <alignment horizontal="left" vertical="top"/>
    </xf>
    <xf numFmtId="0" fontId="6" fillId="0" borderId="14" xfId="0" applyFont="1" applyBorder="1" applyAlignment="1">
      <alignment horizontal="left" vertical="top"/>
    </xf>
    <xf numFmtId="0" fontId="8" fillId="2" borderId="26" xfId="0" applyFont="1" applyFill="1" applyBorder="1" applyAlignment="1">
      <alignment horizontal="center" vertical="center"/>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9" fillId="0" borderId="30" xfId="0" applyFont="1" applyBorder="1" applyAlignment="1">
      <alignment horizontal="left" vertical="center" wrapText="1"/>
    </xf>
    <xf numFmtId="0" fontId="9" fillId="0" borderId="2" xfId="0" applyFont="1" applyBorder="1" applyAlignment="1">
      <alignment horizontal="left" vertical="center" wrapText="1"/>
    </xf>
    <xf numFmtId="0" fontId="9" fillId="0" borderId="0" xfId="0" applyFont="1" applyAlignment="1">
      <alignment horizontal="left" vertical="center" wrapText="1"/>
    </xf>
    <xf numFmtId="0" fontId="9" fillId="0" borderId="3" xfId="0" applyFont="1" applyBorder="1" applyAlignment="1">
      <alignment horizontal="left" vertical="center" wrapText="1"/>
    </xf>
    <xf numFmtId="0" fontId="9" fillId="0" borderId="31" xfId="0" applyFont="1" applyBorder="1" applyAlignment="1">
      <alignment horizontal="left" vertical="center" wrapText="1"/>
    </xf>
    <xf numFmtId="0" fontId="9" fillId="0" borderId="27" xfId="0" applyFont="1" applyBorder="1" applyAlignment="1">
      <alignment horizontal="left" vertical="center" wrapText="1"/>
    </xf>
    <xf numFmtId="0" fontId="9" fillId="0" borderId="32" xfId="0" applyFont="1" applyBorder="1" applyAlignment="1">
      <alignment horizontal="left" vertical="center" wrapText="1"/>
    </xf>
    <xf numFmtId="0" fontId="10" fillId="0" borderId="26" xfId="0" applyFont="1" applyBorder="1" applyAlignment="1">
      <alignment vertical="center" wrapText="1"/>
    </xf>
    <xf numFmtId="0" fontId="9" fillId="0" borderId="26" xfId="0" applyFont="1" applyBorder="1" applyAlignment="1">
      <alignment horizontal="left" vertical="center" wrapText="1"/>
    </xf>
    <xf numFmtId="0" fontId="9" fillId="0" borderId="26" xfId="0" applyFont="1" applyBorder="1" applyAlignment="1">
      <alignment vertical="center" wrapText="1"/>
    </xf>
    <xf numFmtId="0" fontId="10" fillId="0" borderId="26" xfId="0" applyFont="1" applyBorder="1" applyAlignment="1">
      <alignment horizontal="left" vertical="center" wrapText="1"/>
    </xf>
  </cellXfs>
  <cellStyles count="2">
    <cellStyle name="Hiperlink" xfId="1" builtinId="8"/>
    <cellStyle name="Normal" xfId="0" builtinId="0"/>
  </cellStyles>
  <dxfs count="5">
    <dxf>
      <font>
        <b/>
        <i val="0"/>
      </font>
      <fill>
        <patternFill>
          <bgColor theme="9" tint="0.79998168889431442"/>
        </patternFill>
      </fill>
    </dxf>
    <dxf>
      <font>
        <b/>
        <i val="0"/>
      </font>
      <fill>
        <patternFill>
          <bgColor theme="9" tint="0.39994506668294322"/>
        </patternFill>
      </fill>
    </dxf>
    <dxf>
      <font>
        <b/>
        <i val="0"/>
      </font>
      <fill>
        <patternFill>
          <bgColor theme="8" tint="0.39994506668294322"/>
        </patternFill>
      </fill>
    </dxf>
    <dxf>
      <font>
        <b/>
        <i val="0"/>
      </font>
      <fill>
        <patternFill>
          <bgColor theme="7" tint="0.39994506668294322"/>
        </patternFill>
      </fill>
    </dxf>
    <dxf>
      <font>
        <b/>
        <i val="0"/>
      </font>
      <fill>
        <patternFill>
          <bgColor rgb="FFFF00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238125</xdr:colOff>
      <xdr:row>1</xdr:row>
      <xdr:rowOff>234950</xdr:rowOff>
    </xdr:from>
    <xdr:to>
      <xdr:col>29</xdr:col>
      <xdr:colOff>335915</xdr:colOff>
      <xdr:row>2</xdr:row>
      <xdr:rowOff>121920</xdr:rowOff>
    </xdr:to>
    <xdr:pic>
      <xdr:nvPicPr>
        <xdr:cNvPr id="6" name="Imagem 5" descr="Logo da Unimed.">
          <a:extLst>
            <a:ext uri="{FF2B5EF4-FFF2-40B4-BE49-F238E27FC236}">
              <a16:creationId xmlns:a16="http://schemas.microsoft.com/office/drawing/2014/main" id="{8221CF67-D9CA-4388-A2F2-324EAFF49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98025" y="336550"/>
          <a:ext cx="1202690" cy="1727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32</xdr:row>
          <xdr:rowOff>50800</xdr:rowOff>
        </xdr:from>
        <xdr:to>
          <xdr:col>4</xdr:col>
          <xdr:colOff>88900</xdr:colOff>
          <xdr:row>33</xdr:row>
          <xdr:rowOff>57150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Nome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33</xdr:row>
          <xdr:rowOff>107950</xdr:rowOff>
        </xdr:from>
        <xdr:to>
          <xdr:col>4</xdr:col>
          <xdr:colOff>88900</xdr:colOff>
          <xdr:row>34</xdr:row>
          <xdr:rowOff>114300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CPF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32</xdr:row>
          <xdr:rowOff>50800</xdr:rowOff>
        </xdr:from>
        <xdr:to>
          <xdr:col>6</xdr:col>
          <xdr:colOff>19050</xdr:colOff>
          <xdr:row>33</xdr:row>
          <xdr:rowOff>57150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RG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33</xdr:row>
          <xdr:rowOff>101600</xdr:rowOff>
        </xdr:from>
        <xdr:to>
          <xdr:col>6</xdr:col>
          <xdr:colOff>19050</xdr:colOff>
          <xdr:row>34</xdr:row>
          <xdr:rowOff>114300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Data de nascimento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32</xdr:row>
          <xdr:rowOff>50800</xdr:rowOff>
        </xdr:from>
        <xdr:to>
          <xdr:col>9</xdr:col>
          <xdr:colOff>114300</xdr:colOff>
          <xdr:row>33</xdr:row>
          <xdr:rowOff>57150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Sexo/gênero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33</xdr:row>
          <xdr:rowOff>101600</xdr:rowOff>
        </xdr:from>
        <xdr:to>
          <xdr:col>9</xdr:col>
          <xdr:colOff>114300</xdr:colOff>
          <xdr:row>34</xdr:row>
          <xdr:rowOff>114300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E-mail pessoal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32</xdr:row>
          <xdr:rowOff>44450</xdr:rowOff>
        </xdr:from>
        <xdr:to>
          <xdr:col>11</xdr:col>
          <xdr:colOff>349250</xdr:colOff>
          <xdr:row>33</xdr:row>
          <xdr:rowOff>57150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E-mail corporativo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33</xdr:row>
          <xdr:rowOff>101600</xdr:rowOff>
        </xdr:from>
        <xdr:to>
          <xdr:col>12</xdr:col>
          <xdr:colOff>0</xdr:colOff>
          <xdr:row>34</xdr:row>
          <xdr:rowOff>114300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1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Endereço pessoal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101600</xdr:colOff>
          <xdr:row>32</xdr:row>
          <xdr:rowOff>57150</xdr:rowOff>
        </xdr:from>
        <xdr:to>
          <xdr:col>15</xdr:col>
          <xdr:colOff>152400</xdr:colOff>
          <xdr:row>33</xdr:row>
          <xdr:rowOff>63500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1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Endereço corporativo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107950</xdr:colOff>
          <xdr:row>33</xdr:row>
          <xdr:rowOff>114300</xdr:rowOff>
        </xdr:from>
        <xdr:to>
          <xdr:col>15</xdr:col>
          <xdr:colOff>152400</xdr:colOff>
          <xdr:row>34</xdr:row>
          <xdr:rowOff>120650</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1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Cargo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25400</xdr:colOff>
          <xdr:row>32</xdr:row>
          <xdr:rowOff>69850</xdr:rowOff>
        </xdr:from>
        <xdr:to>
          <xdr:col>19</xdr:col>
          <xdr:colOff>76200</xdr:colOff>
          <xdr:row>33</xdr:row>
          <xdr:rowOff>76200</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1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Funcional/matrícula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31750</xdr:colOff>
          <xdr:row>33</xdr:row>
          <xdr:rowOff>120650</xdr:rowOff>
        </xdr:from>
        <xdr:to>
          <xdr:col>19</xdr:col>
          <xdr:colOff>76200</xdr:colOff>
          <xdr:row>34</xdr:row>
          <xdr:rowOff>133350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1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Endereço de 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196850</xdr:colOff>
          <xdr:row>32</xdr:row>
          <xdr:rowOff>63500</xdr:rowOff>
        </xdr:from>
        <xdr:to>
          <xdr:col>22</xdr:col>
          <xdr:colOff>247650</xdr:colOff>
          <xdr:row>33</xdr:row>
          <xdr:rowOff>76200</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1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bancários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203200</xdr:colOff>
          <xdr:row>33</xdr:row>
          <xdr:rowOff>120650</xdr:rowOff>
        </xdr:from>
        <xdr:to>
          <xdr:col>22</xdr:col>
          <xdr:colOff>247650</xdr:colOff>
          <xdr:row>34</xdr:row>
          <xdr:rowOff>133350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1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Renda/benefícios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260350</xdr:colOff>
          <xdr:row>32</xdr:row>
          <xdr:rowOff>63500</xdr:rowOff>
        </xdr:from>
        <xdr:to>
          <xdr:col>25</xdr:col>
          <xdr:colOff>304800</xdr:colOff>
          <xdr:row>33</xdr:row>
          <xdr:rowOff>76200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1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Geolocalização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254000</xdr:colOff>
          <xdr:row>33</xdr:row>
          <xdr:rowOff>120650</xdr:rowOff>
        </xdr:from>
        <xdr:to>
          <xdr:col>25</xdr:col>
          <xdr:colOff>304800</xdr:colOff>
          <xdr:row>34</xdr:row>
          <xdr:rowOff>133350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1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Localização aproximada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203200</xdr:colOff>
          <xdr:row>32</xdr:row>
          <xdr:rowOff>63500</xdr:rowOff>
        </xdr:from>
        <xdr:to>
          <xdr:col>29</xdr:col>
          <xdr:colOff>247650</xdr:colOff>
          <xdr:row>33</xdr:row>
          <xdr:rowOff>76200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1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de saúde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196850</xdr:colOff>
          <xdr:row>33</xdr:row>
          <xdr:rowOff>127000</xdr:rowOff>
        </xdr:from>
        <xdr:to>
          <xdr:col>29</xdr:col>
          <xdr:colOff>247650</xdr:colOff>
          <xdr:row>34</xdr:row>
          <xdr:rowOff>133350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1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biométricos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361950</xdr:colOff>
          <xdr:row>32</xdr:row>
          <xdr:rowOff>69850</xdr:rowOff>
        </xdr:from>
        <xdr:to>
          <xdr:col>33</xdr:col>
          <xdr:colOff>38100</xdr:colOff>
          <xdr:row>33</xdr:row>
          <xdr:rowOff>76200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Origem racial ou étnica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361950</xdr:colOff>
          <xdr:row>33</xdr:row>
          <xdr:rowOff>127000</xdr:rowOff>
        </xdr:from>
        <xdr:to>
          <xdr:col>33</xdr:col>
          <xdr:colOff>38100</xdr:colOff>
          <xdr:row>34</xdr:row>
          <xdr:rowOff>133350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1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Convicção religiosa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304800</xdr:colOff>
          <xdr:row>32</xdr:row>
          <xdr:rowOff>69850</xdr:rowOff>
        </xdr:from>
        <xdr:to>
          <xdr:col>36</xdr:col>
          <xdr:colOff>349250</xdr:colOff>
          <xdr:row>33</xdr:row>
          <xdr:rowOff>76200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Opinião política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311150</xdr:colOff>
          <xdr:row>33</xdr:row>
          <xdr:rowOff>101600</xdr:rowOff>
        </xdr:from>
        <xdr:to>
          <xdr:col>43</xdr:col>
          <xdr:colOff>323850</xdr:colOff>
          <xdr:row>34</xdr:row>
          <xdr:rowOff>133350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1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Filiação a sindicato ou organização de caráter religioso, filosófico ou político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330200</xdr:colOff>
          <xdr:row>32</xdr:row>
          <xdr:rowOff>63500</xdr:rowOff>
        </xdr:from>
        <xdr:to>
          <xdr:col>40</xdr:col>
          <xdr:colOff>6350</xdr:colOff>
          <xdr:row>33</xdr:row>
          <xdr:rowOff>76200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1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genéticos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57150</xdr:colOff>
          <xdr:row>32</xdr:row>
          <xdr:rowOff>57150</xdr:rowOff>
        </xdr:from>
        <xdr:to>
          <xdr:col>44</xdr:col>
          <xdr:colOff>50800</xdr:colOff>
          <xdr:row>33</xdr:row>
          <xdr:rowOff>76200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sobre vida sexual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34</xdr:row>
          <xdr:rowOff>146050</xdr:rowOff>
        </xdr:from>
        <xdr:to>
          <xdr:col>4</xdr:col>
          <xdr:colOff>317500</xdr:colOff>
          <xdr:row>36</xdr:row>
          <xdr:rowOff>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1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Imagem (foto ou vídeo)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34</xdr:row>
          <xdr:rowOff>158750</xdr:rowOff>
        </xdr:from>
        <xdr:to>
          <xdr:col>9</xdr:col>
          <xdr:colOff>114300</xdr:colOff>
          <xdr:row>35</xdr:row>
          <xdr:rowOff>171450</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1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Voz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34</xdr:row>
          <xdr:rowOff>171450</xdr:rowOff>
        </xdr:from>
        <xdr:to>
          <xdr:col>12</xdr:col>
          <xdr:colOff>0</xdr:colOff>
          <xdr:row>35</xdr:row>
          <xdr:rowOff>184150</xdr:rowOff>
        </xdr:to>
        <xdr:sp macro="" textlink="">
          <xdr:nvSpPr>
            <xdr:cNvPr id="2100" name="Check Box 52" hidden="1">
              <a:extLst>
                <a:ext uri="{63B3BB69-23CF-44E3-9099-C40C66FF867C}">
                  <a14:compatExt spid="_x0000_s2100"/>
                </a:ext>
                <a:ext uri="{FF2B5EF4-FFF2-40B4-BE49-F238E27FC236}">
                  <a16:creationId xmlns:a16="http://schemas.microsoft.com/office/drawing/2014/main" id="{00000000-0008-0000-0100-00003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Outro(s)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50800</xdr:colOff>
          <xdr:row>39</xdr:row>
          <xdr:rowOff>19050</xdr:rowOff>
        </xdr:from>
        <xdr:to>
          <xdr:col>6</xdr:col>
          <xdr:colOff>19050</xdr:colOff>
          <xdr:row>40</xdr:row>
          <xdr:rowOff>69850</xdr:rowOff>
        </xdr:to>
        <xdr:sp macro="" textlink="">
          <xdr:nvSpPr>
            <xdr:cNvPr id="2101" name="Check Box 53" hidden="1">
              <a:extLst>
                <a:ext uri="{63B3BB69-23CF-44E3-9099-C40C66FF867C}">
                  <a14:compatExt spid="_x0000_s2101"/>
                </a:ext>
                <a:ext uri="{FF2B5EF4-FFF2-40B4-BE49-F238E27FC236}">
                  <a16:creationId xmlns:a16="http://schemas.microsoft.com/office/drawing/2014/main" id="{00000000-0008-0000-0100-00003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Colaboradores da Unimed do Brasil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158750</xdr:colOff>
          <xdr:row>39</xdr:row>
          <xdr:rowOff>38100</xdr:rowOff>
        </xdr:from>
        <xdr:to>
          <xdr:col>9</xdr:col>
          <xdr:colOff>209550</xdr:colOff>
          <xdr:row>40</xdr:row>
          <xdr:rowOff>50800</xdr:rowOff>
        </xdr:to>
        <xdr:sp macro="" textlink="">
          <xdr:nvSpPr>
            <xdr:cNvPr id="2102" name="Check Box 54" hidden="1">
              <a:extLst>
                <a:ext uri="{63B3BB69-23CF-44E3-9099-C40C66FF867C}">
                  <a14:compatExt spid="_x0000_s2102"/>
                </a:ext>
                <a:ext uri="{FF2B5EF4-FFF2-40B4-BE49-F238E27FC236}">
                  <a16:creationId xmlns:a16="http://schemas.microsoft.com/office/drawing/2014/main" id="{00000000-0008-0000-0100-00003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Beneficiários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50800</xdr:colOff>
          <xdr:row>40</xdr:row>
          <xdr:rowOff>63500</xdr:rowOff>
        </xdr:from>
        <xdr:to>
          <xdr:col>6</xdr:col>
          <xdr:colOff>57150</xdr:colOff>
          <xdr:row>41</xdr:row>
          <xdr:rowOff>63500</xdr:rowOff>
        </xdr:to>
        <xdr:sp macro="" textlink="">
          <xdr:nvSpPr>
            <xdr:cNvPr id="2103" name="Check Box 55"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Colaboradores do Sistema Unimed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165100</xdr:colOff>
          <xdr:row>40</xdr:row>
          <xdr:rowOff>57150</xdr:rowOff>
        </xdr:from>
        <xdr:to>
          <xdr:col>9</xdr:col>
          <xdr:colOff>209550</xdr:colOff>
          <xdr:row>41</xdr:row>
          <xdr:rowOff>63500</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100-00003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Outro(s)</a:t>
              </a:r>
            </a:p>
          </xdr:txBody>
        </xdr:sp>
        <xdr:clientData/>
      </xdr:twoCellAnchor>
    </mc:Choice>
    <mc:Fallback/>
  </mc:AlternateContent>
  <xdr:twoCellAnchor editAs="oneCell">
    <xdr:from>
      <xdr:col>42</xdr:col>
      <xdr:colOff>161925</xdr:colOff>
      <xdr:row>1</xdr:row>
      <xdr:rowOff>209550</xdr:rowOff>
    </xdr:from>
    <xdr:to>
      <xdr:col>45</xdr:col>
      <xdr:colOff>259715</xdr:colOff>
      <xdr:row>2</xdr:row>
      <xdr:rowOff>102870</xdr:rowOff>
    </xdr:to>
    <xdr:pic>
      <xdr:nvPicPr>
        <xdr:cNvPr id="3" name="Imagem 2" descr="Logo da Unimed.">
          <a:extLst>
            <a:ext uri="{FF2B5EF4-FFF2-40B4-BE49-F238E27FC236}">
              <a16:creationId xmlns:a16="http://schemas.microsoft.com/office/drawing/2014/main" id="{543F2BA2-83E4-4AA2-96CF-3876AFBCF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44800" y="314325"/>
          <a:ext cx="1212215" cy="1695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42</xdr:col>
      <xdr:colOff>168275</xdr:colOff>
      <xdr:row>1</xdr:row>
      <xdr:rowOff>219075</xdr:rowOff>
    </xdr:from>
    <xdr:to>
      <xdr:col>45</xdr:col>
      <xdr:colOff>266065</xdr:colOff>
      <xdr:row>2</xdr:row>
      <xdr:rowOff>115570</xdr:rowOff>
    </xdr:to>
    <xdr:pic>
      <xdr:nvPicPr>
        <xdr:cNvPr id="4" name="Imagem 3" descr="Logo da Unimed.">
          <a:extLst>
            <a:ext uri="{FF2B5EF4-FFF2-40B4-BE49-F238E27FC236}">
              <a16:creationId xmlns:a16="http://schemas.microsoft.com/office/drawing/2014/main" id="{7822B5AF-D27A-4206-AB26-C63398A6D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51150" y="323850"/>
          <a:ext cx="1212215" cy="17272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38100</xdr:colOff>
          <xdr:row>60</xdr:row>
          <xdr:rowOff>50800</xdr:rowOff>
        </xdr:from>
        <xdr:to>
          <xdr:col>4</xdr:col>
          <xdr:colOff>88900</xdr:colOff>
          <xdr:row>61</xdr:row>
          <xdr:rowOff>57150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3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Nome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61</xdr:row>
          <xdr:rowOff>107950</xdr:rowOff>
        </xdr:from>
        <xdr:to>
          <xdr:col>4</xdr:col>
          <xdr:colOff>88900</xdr:colOff>
          <xdr:row>62</xdr:row>
          <xdr:rowOff>114300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3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CPF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60</xdr:row>
          <xdr:rowOff>50800</xdr:rowOff>
        </xdr:from>
        <xdr:to>
          <xdr:col>6</xdr:col>
          <xdr:colOff>19050</xdr:colOff>
          <xdr:row>61</xdr:row>
          <xdr:rowOff>57150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3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RG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61</xdr:row>
          <xdr:rowOff>101600</xdr:rowOff>
        </xdr:from>
        <xdr:to>
          <xdr:col>6</xdr:col>
          <xdr:colOff>19050</xdr:colOff>
          <xdr:row>62</xdr:row>
          <xdr:rowOff>114300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3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Data de nascimento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60</xdr:row>
          <xdr:rowOff>50800</xdr:rowOff>
        </xdr:from>
        <xdr:to>
          <xdr:col>9</xdr:col>
          <xdr:colOff>114300</xdr:colOff>
          <xdr:row>61</xdr:row>
          <xdr:rowOff>57150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3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Sexo/gênero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61</xdr:row>
          <xdr:rowOff>101600</xdr:rowOff>
        </xdr:from>
        <xdr:to>
          <xdr:col>9</xdr:col>
          <xdr:colOff>114300</xdr:colOff>
          <xdr:row>62</xdr:row>
          <xdr:rowOff>114300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3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E-mail pessoal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60</xdr:row>
          <xdr:rowOff>44450</xdr:rowOff>
        </xdr:from>
        <xdr:to>
          <xdr:col>12</xdr:col>
          <xdr:colOff>0</xdr:colOff>
          <xdr:row>61</xdr:row>
          <xdr:rowOff>57150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3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E-mail corporativo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61</xdr:row>
          <xdr:rowOff>101600</xdr:rowOff>
        </xdr:from>
        <xdr:to>
          <xdr:col>12</xdr:col>
          <xdr:colOff>0</xdr:colOff>
          <xdr:row>62</xdr:row>
          <xdr:rowOff>114300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Endereço pessoal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101600</xdr:colOff>
          <xdr:row>60</xdr:row>
          <xdr:rowOff>57150</xdr:rowOff>
        </xdr:from>
        <xdr:to>
          <xdr:col>15</xdr:col>
          <xdr:colOff>152400</xdr:colOff>
          <xdr:row>61</xdr:row>
          <xdr:rowOff>69850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Endereço corporativo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107950</xdr:colOff>
          <xdr:row>61</xdr:row>
          <xdr:rowOff>114300</xdr:rowOff>
        </xdr:from>
        <xdr:to>
          <xdr:col>15</xdr:col>
          <xdr:colOff>152400</xdr:colOff>
          <xdr:row>62</xdr:row>
          <xdr:rowOff>127000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Cargo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25400</xdr:colOff>
          <xdr:row>60</xdr:row>
          <xdr:rowOff>69850</xdr:rowOff>
        </xdr:from>
        <xdr:to>
          <xdr:col>19</xdr:col>
          <xdr:colOff>76200</xdr:colOff>
          <xdr:row>61</xdr:row>
          <xdr:rowOff>76200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Funcional/matrícula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31750</xdr:colOff>
          <xdr:row>61</xdr:row>
          <xdr:rowOff>120650</xdr:rowOff>
        </xdr:from>
        <xdr:to>
          <xdr:col>19</xdr:col>
          <xdr:colOff>76200</xdr:colOff>
          <xdr:row>62</xdr:row>
          <xdr:rowOff>133350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Endereço de 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196850</xdr:colOff>
          <xdr:row>60</xdr:row>
          <xdr:rowOff>63500</xdr:rowOff>
        </xdr:from>
        <xdr:to>
          <xdr:col>22</xdr:col>
          <xdr:colOff>247650</xdr:colOff>
          <xdr:row>61</xdr:row>
          <xdr:rowOff>76200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bancários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203200</xdr:colOff>
          <xdr:row>61</xdr:row>
          <xdr:rowOff>120650</xdr:rowOff>
        </xdr:from>
        <xdr:to>
          <xdr:col>22</xdr:col>
          <xdr:colOff>247650</xdr:colOff>
          <xdr:row>62</xdr:row>
          <xdr:rowOff>133350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Renda/benefícios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260350</xdr:colOff>
          <xdr:row>60</xdr:row>
          <xdr:rowOff>63500</xdr:rowOff>
        </xdr:from>
        <xdr:to>
          <xdr:col>25</xdr:col>
          <xdr:colOff>304800</xdr:colOff>
          <xdr:row>61</xdr:row>
          <xdr:rowOff>76200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Geolocalização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254000</xdr:colOff>
          <xdr:row>61</xdr:row>
          <xdr:rowOff>120650</xdr:rowOff>
        </xdr:from>
        <xdr:to>
          <xdr:col>25</xdr:col>
          <xdr:colOff>304800</xdr:colOff>
          <xdr:row>62</xdr:row>
          <xdr:rowOff>133350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Localização aproximada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203200</xdr:colOff>
          <xdr:row>60</xdr:row>
          <xdr:rowOff>63500</xdr:rowOff>
        </xdr:from>
        <xdr:to>
          <xdr:col>29</xdr:col>
          <xdr:colOff>247650</xdr:colOff>
          <xdr:row>61</xdr:row>
          <xdr:rowOff>76200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de saúde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196850</xdr:colOff>
          <xdr:row>61</xdr:row>
          <xdr:rowOff>127000</xdr:rowOff>
        </xdr:from>
        <xdr:to>
          <xdr:col>29</xdr:col>
          <xdr:colOff>247650</xdr:colOff>
          <xdr:row>62</xdr:row>
          <xdr:rowOff>133350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biométricos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361950</xdr:colOff>
          <xdr:row>60</xdr:row>
          <xdr:rowOff>69850</xdr:rowOff>
        </xdr:from>
        <xdr:to>
          <xdr:col>33</xdr:col>
          <xdr:colOff>38100</xdr:colOff>
          <xdr:row>61</xdr:row>
          <xdr:rowOff>76200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3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Origem racial ou étnica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361950</xdr:colOff>
          <xdr:row>61</xdr:row>
          <xdr:rowOff>127000</xdr:rowOff>
        </xdr:from>
        <xdr:to>
          <xdr:col>33</xdr:col>
          <xdr:colOff>38100</xdr:colOff>
          <xdr:row>62</xdr:row>
          <xdr:rowOff>133350</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3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Convicção religiosa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304800</xdr:colOff>
          <xdr:row>60</xdr:row>
          <xdr:rowOff>69850</xdr:rowOff>
        </xdr:from>
        <xdr:to>
          <xdr:col>37</xdr:col>
          <xdr:colOff>3175</xdr:colOff>
          <xdr:row>61</xdr:row>
          <xdr:rowOff>76200</xdr:rowOff>
        </xdr:to>
        <xdr:sp macro="" textlink="">
          <xdr:nvSpPr>
            <xdr:cNvPr id="5145" name="Check Box 25" hidden="1">
              <a:extLst>
                <a:ext uri="{63B3BB69-23CF-44E3-9099-C40C66FF867C}">
                  <a14:compatExt spid="_x0000_s5145"/>
                </a:ext>
                <a:ext uri="{FF2B5EF4-FFF2-40B4-BE49-F238E27FC236}">
                  <a16:creationId xmlns:a16="http://schemas.microsoft.com/office/drawing/2014/main" id="{00000000-0008-0000-0300-00001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Opinião política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311150</xdr:colOff>
          <xdr:row>61</xdr:row>
          <xdr:rowOff>101600</xdr:rowOff>
        </xdr:from>
        <xdr:to>
          <xdr:col>43</xdr:col>
          <xdr:colOff>323850</xdr:colOff>
          <xdr:row>62</xdr:row>
          <xdr:rowOff>133350</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03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Filiação a sindicato ou organização de caráter religioso, filosófico ou político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330200</xdr:colOff>
          <xdr:row>60</xdr:row>
          <xdr:rowOff>63500</xdr:rowOff>
        </xdr:from>
        <xdr:to>
          <xdr:col>40</xdr:col>
          <xdr:colOff>12700</xdr:colOff>
          <xdr:row>61</xdr:row>
          <xdr:rowOff>76200</xdr:rowOff>
        </xdr:to>
        <xdr:sp macro="" textlink="">
          <xdr:nvSpPr>
            <xdr:cNvPr id="5147" name="Check Box 27" hidden="1">
              <a:extLst>
                <a:ext uri="{63B3BB69-23CF-44E3-9099-C40C66FF867C}">
                  <a14:compatExt spid="_x0000_s5147"/>
                </a:ext>
                <a:ext uri="{FF2B5EF4-FFF2-40B4-BE49-F238E27FC236}">
                  <a16:creationId xmlns:a16="http://schemas.microsoft.com/office/drawing/2014/main" id="{00000000-0008-0000-0300-00001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genéticos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57150</xdr:colOff>
          <xdr:row>60</xdr:row>
          <xdr:rowOff>57150</xdr:rowOff>
        </xdr:from>
        <xdr:to>
          <xdr:col>44</xdr:col>
          <xdr:colOff>50800</xdr:colOff>
          <xdr:row>61</xdr:row>
          <xdr:rowOff>76200</xdr:rowOff>
        </xdr:to>
        <xdr:sp macro="" textlink="">
          <xdr:nvSpPr>
            <xdr:cNvPr id="5148" name="Check Box 28" hidden="1">
              <a:extLst>
                <a:ext uri="{63B3BB69-23CF-44E3-9099-C40C66FF867C}">
                  <a14:compatExt spid="_x0000_s5148"/>
                </a:ext>
                <a:ext uri="{FF2B5EF4-FFF2-40B4-BE49-F238E27FC236}">
                  <a16:creationId xmlns:a16="http://schemas.microsoft.com/office/drawing/2014/main" id="{00000000-0008-0000-0300-00001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Dados sobre vida sexual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62</xdr:row>
          <xdr:rowOff>127000</xdr:rowOff>
        </xdr:from>
        <xdr:to>
          <xdr:col>4</xdr:col>
          <xdr:colOff>311150</xdr:colOff>
          <xdr:row>63</xdr:row>
          <xdr:rowOff>171450</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03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Imagem (foto ou vídeo)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62</xdr:row>
          <xdr:rowOff>152400</xdr:rowOff>
        </xdr:from>
        <xdr:to>
          <xdr:col>9</xdr:col>
          <xdr:colOff>114300</xdr:colOff>
          <xdr:row>63</xdr:row>
          <xdr:rowOff>165100</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03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Voz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62</xdr:row>
          <xdr:rowOff>146050</xdr:rowOff>
        </xdr:from>
        <xdr:to>
          <xdr:col>12</xdr:col>
          <xdr:colOff>165100</xdr:colOff>
          <xdr:row>63</xdr:row>
          <xdr:rowOff>165100</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3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Informação de negócio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105</xdr:row>
          <xdr:rowOff>38100</xdr:rowOff>
        </xdr:from>
        <xdr:to>
          <xdr:col>4</xdr:col>
          <xdr:colOff>107950</xdr:colOff>
          <xdr:row>106</xdr:row>
          <xdr:rowOff>69850</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03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Exclusão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106</xdr:row>
          <xdr:rowOff>95250</xdr:rowOff>
        </xdr:from>
        <xdr:to>
          <xdr:col>4</xdr:col>
          <xdr:colOff>101600</xdr:colOff>
          <xdr:row>107</xdr:row>
          <xdr:rowOff>120650</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03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Devolução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203200</xdr:colOff>
          <xdr:row>105</xdr:row>
          <xdr:rowOff>38100</xdr:rowOff>
        </xdr:from>
        <xdr:to>
          <xdr:col>6</xdr:col>
          <xdr:colOff>247650</xdr:colOff>
          <xdr:row>106</xdr:row>
          <xdr:rowOff>69850</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03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Retenção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16</xdr:row>
          <xdr:rowOff>38100</xdr:rowOff>
        </xdr:from>
        <xdr:to>
          <xdr:col>12</xdr:col>
          <xdr:colOff>241300</xdr:colOff>
          <xdr:row>17</xdr:row>
          <xdr:rowOff>88900</xdr:rowOff>
        </xdr:to>
        <xdr:sp macro="" textlink="">
          <xdr:nvSpPr>
            <xdr:cNvPr id="5164" name="Check Box 44" hidden="1">
              <a:extLst>
                <a:ext uri="{63B3BB69-23CF-44E3-9099-C40C66FF867C}">
                  <a14:compatExt spid="_x0000_s5164"/>
                </a:ext>
                <a:ext uri="{FF2B5EF4-FFF2-40B4-BE49-F238E27FC236}">
                  <a16:creationId xmlns:a16="http://schemas.microsoft.com/office/drawing/2014/main" id="{00000000-0008-0000-03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Plataformas de IA (como OpenAI, Google, Microsoft, AWS)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17</xdr:row>
          <xdr:rowOff>107950</xdr:rowOff>
        </xdr:from>
        <xdr:to>
          <xdr:col>12</xdr:col>
          <xdr:colOff>31750</xdr:colOff>
          <xdr:row>18</xdr:row>
          <xdr:rowOff>152400</xdr:rowOff>
        </xdr:to>
        <xdr:sp macro="" textlink="">
          <xdr:nvSpPr>
            <xdr:cNvPr id="5165" name="Check Box 45" hidden="1">
              <a:extLst>
                <a:ext uri="{63B3BB69-23CF-44E3-9099-C40C66FF867C}">
                  <a14:compatExt spid="_x0000_s5165"/>
                </a:ext>
                <a:ext uri="{FF2B5EF4-FFF2-40B4-BE49-F238E27FC236}">
                  <a16:creationId xmlns:a16="http://schemas.microsoft.com/office/drawing/2014/main" id="{00000000-0008-0000-03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Modelos de mercado (como LLaMA, GPT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16</xdr:row>
          <xdr:rowOff>38100</xdr:rowOff>
        </xdr:from>
        <xdr:to>
          <xdr:col>16</xdr:col>
          <xdr:colOff>12700</xdr:colOff>
          <xdr:row>17</xdr:row>
          <xdr:rowOff>107950</xdr:rowOff>
        </xdr:to>
        <xdr:sp macro="" textlink="">
          <xdr:nvSpPr>
            <xdr:cNvPr id="5166" name="Check Box 46" hidden="1">
              <a:extLst>
                <a:ext uri="{63B3BB69-23CF-44E3-9099-C40C66FF867C}">
                  <a14:compatExt spid="_x0000_s5166"/>
                </a:ext>
                <a:ext uri="{FF2B5EF4-FFF2-40B4-BE49-F238E27FC236}">
                  <a16:creationId xmlns:a16="http://schemas.microsoft.com/office/drawing/2014/main" id="{00000000-0008-0000-0300-00002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Biblioteca ou frameworks (como Hugging Face)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17</xdr:row>
          <xdr:rowOff>114300</xdr:rowOff>
        </xdr:from>
        <xdr:to>
          <xdr:col>15</xdr:col>
          <xdr:colOff>152400</xdr:colOff>
          <xdr:row>18</xdr:row>
          <xdr:rowOff>133350</xdr:rowOff>
        </xdr:to>
        <xdr:sp macro="" textlink="">
          <xdr:nvSpPr>
            <xdr:cNvPr id="5167" name="Check Box 47" hidden="1">
              <a:extLst>
                <a:ext uri="{63B3BB69-23CF-44E3-9099-C40C66FF867C}">
                  <a14:compatExt spid="_x0000_s5167"/>
                </a:ext>
                <a:ext uri="{FF2B5EF4-FFF2-40B4-BE49-F238E27FC236}">
                  <a16:creationId xmlns:a16="http://schemas.microsoft.com/office/drawing/2014/main" id="{00000000-0008-0000-0300-00002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Modelo próprio desenvolvido internamente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101600</xdr:colOff>
          <xdr:row>62</xdr:row>
          <xdr:rowOff>152400</xdr:rowOff>
        </xdr:from>
        <xdr:to>
          <xdr:col>15</xdr:col>
          <xdr:colOff>152400</xdr:colOff>
          <xdr:row>63</xdr:row>
          <xdr:rowOff>158750</xdr:rowOff>
        </xdr:to>
        <xdr:sp macro="" textlink="">
          <xdr:nvSpPr>
            <xdr:cNvPr id="5168" name="Check Box 48" hidden="1">
              <a:extLst>
                <a:ext uri="{63B3BB69-23CF-44E3-9099-C40C66FF867C}">
                  <a14:compatExt spid="_x0000_s5168"/>
                </a:ext>
                <a:ext uri="{FF2B5EF4-FFF2-40B4-BE49-F238E27FC236}">
                  <a16:creationId xmlns:a16="http://schemas.microsoft.com/office/drawing/2014/main" id="{00000000-0008-0000-0300-00003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pt-BR" sz="800" b="0" i="0" u="none" strike="noStrike" baseline="0">
                  <a:solidFill>
                    <a:srgbClr val="000000"/>
                  </a:solidFill>
                  <a:latin typeface="Segoe UI"/>
                  <a:cs typeface="Segoe UI"/>
                </a:rPr>
                <a:t>Outro(s)</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41</xdr:col>
      <xdr:colOff>200025</xdr:colOff>
      <xdr:row>1</xdr:row>
      <xdr:rowOff>206375</xdr:rowOff>
    </xdr:from>
    <xdr:to>
      <xdr:col>44</xdr:col>
      <xdr:colOff>297815</xdr:colOff>
      <xdr:row>2</xdr:row>
      <xdr:rowOff>106045</xdr:rowOff>
    </xdr:to>
    <xdr:pic>
      <xdr:nvPicPr>
        <xdr:cNvPr id="4" name="Imagem 3" descr="Logo da Unimed.">
          <a:extLst>
            <a:ext uri="{FF2B5EF4-FFF2-40B4-BE49-F238E27FC236}">
              <a16:creationId xmlns:a16="http://schemas.microsoft.com/office/drawing/2014/main" id="{0BF776B3-C285-48BA-A98A-5709ED5A5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82900" y="311150"/>
          <a:ext cx="1209040" cy="172720"/>
        </a:xfrm>
        <a:prstGeom prst="rect">
          <a:avLst/>
        </a:prstGeom>
      </xdr:spPr>
    </xdr:pic>
    <xdr:clientData/>
  </xdr:twoCellAnchor>
</xdr:wsDr>
</file>

<file path=xl/theme/theme1.xml><?xml version="1.0" encoding="utf-8"?>
<a:theme xmlns:a="http://schemas.openxmlformats.org/drawingml/2006/main" name="Temaub2023">
  <a:themeElements>
    <a:clrScheme name="Unimed">
      <a:dk1>
        <a:srgbClr val="004D4C"/>
      </a:dk1>
      <a:lt1>
        <a:srgbClr val="FFFFFF"/>
      </a:lt1>
      <a:dk2>
        <a:srgbClr val="004D4C"/>
      </a:dk2>
      <a:lt2>
        <a:srgbClr val="FFFFFF"/>
      </a:lt2>
      <a:accent1>
        <a:srgbClr val="004D4C"/>
      </a:accent1>
      <a:accent2>
        <a:srgbClr val="00995D"/>
      </a:accent2>
      <a:accent3>
        <a:srgbClr val="CCE2BA"/>
      </a:accent3>
      <a:accent4>
        <a:srgbClr val="F47820"/>
      </a:accent4>
      <a:accent5>
        <a:srgbClr val="FFE595"/>
      </a:accent5>
      <a:accent6>
        <a:srgbClr val="B1D34B"/>
      </a:accent6>
      <a:hlink>
        <a:srgbClr val="00995D"/>
      </a:hlink>
      <a:folHlink>
        <a:srgbClr val="B1D34B"/>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emaub2023" id="{89CD5FF5-36DF-434B-8FFA-2D48C416791B}" vid="{856F15FE-B299-4E9C-8D4A-5B1FCFD04A5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hyperlink" Target="https://forms.cloud.microsoft/r/KJkRPUtK5P" TargetMode="External"/><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omments" Target="../comments1.xml"/><Relationship Id="rId8"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42.xml"/><Relationship Id="rId18" Type="http://schemas.openxmlformats.org/officeDocument/2006/relationships/ctrlProp" Target="../ctrlProps/ctrlProp47.xml"/><Relationship Id="rId26" Type="http://schemas.openxmlformats.org/officeDocument/2006/relationships/ctrlProp" Target="../ctrlProps/ctrlProp55.xml"/><Relationship Id="rId21" Type="http://schemas.openxmlformats.org/officeDocument/2006/relationships/ctrlProp" Target="../ctrlProps/ctrlProp50.xml"/><Relationship Id="rId34" Type="http://schemas.openxmlformats.org/officeDocument/2006/relationships/ctrlProp" Target="../ctrlProps/ctrlProp63.xml"/><Relationship Id="rId7" Type="http://schemas.openxmlformats.org/officeDocument/2006/relationships/ctrlProp" Target="../ctrlProps/ctrlProp36.xml"/><Relationship Id="rId12" Type="http://schemas.openxmlformats.org/officeDocument/2006/relationships/ctrlProp" Target="../ctrlProps/ctrlProp41.xml"/><Relationship Id="rId17" Type="http://schemas.openxmlformats.org/officeDocument/2006/relationships/ctrlProp" Target="../ctrlProps/ctrlProp46.xml"/><Relationship Id="rId25" Type="http://schemas.openxmlformats.org/officeDocument/2006/relationships/ctrlProp" Target="../ctrlProps/ctrlProp54.xml"/><Relationship Id="rId33" Type="http://schemas.openxmlformats.org/officeDocument/2006/relationships/ctrlProp" Target="../ctrlProps/ctrlProp62.xml"/><Relationship Id="rId2" Type="http://schemas.openxmlformats.org/officeDocument/2006/relationships/vmlDrawing" Target="../drawings/vmlDrawing2.vml"/><Relationship Id="rId16" Type="http://schemas.openxmlformats.org/officeDocument/2006/relationships/ctrlProp" Target="../ctrlProps/ctrlProp45.xml"/><Relationship Id="rId20" Type="http://schemas.openxmlformats.org/officeDocument/2006/relationships/ctrlProp" Target="../ctrlProps/ctrlProp49.xml"/><Relationship Id="rId29" Type="http://schemas.openxmlformats.org/officeDocument/2006/relationships/ctrlProp" Target="../ctrlProps/ctrlProp58.xml"/><Relationship Id="rId1" Type="http://schemas.openxmlformats.org/officeDocument/2006/relationships/drawing" Target="../drawings/drawing3.xml"/><Relationship Id="rId6" Type="http://schemas.openxmlformats.org/officeDocument/2006/relationships/ctrlProp" Target="../ctrlProps/ctrlProp35.xml"/><Relationship Id="rId11" Type="http://schemas.openxmlformats.org/officeDocument/2006/relationships/ctrlProp" Target="../ctrlProps/ctrlProp40.xml"/><Relationship Id="rId24" Type="http://schemas.openxmlformats.org/officeDocument/2006/relationships/ctrlProp" Target="../ctrlProps/ctrlProp53.xml"/><Relationship Id="rId32" Type="http://schemas.openxmlformats.org/officeDocument/2006/relationships/ctrlProp" Target="../ctrlProps/ctrlProp61.xml"/><Relationship Id="rId37" Type="http://schemas.openxmlformats.org/officeDocument/2006/relationships/ctrlProp" Target="../ctrlProps/ctrlProp66.xml"/><Relationship Id="rId5" Type="http://schemas.openxmlformats.org/officeDocument/2006/relationships/ctrlProp" Target="../ctrlProps/ctrlProp34.xml"/><Relationship Id="rId15" Type="http://schemas.openxmlformats.org/officeDocument/2006/relationships/ctrlProp" Target="../ctrlProps/ctrlProp44.xml"/><Relationship Id="rId23" Type="http://schemas.openxmlformats.org/officeDocument/2006/relationships/ctrlProp" Target="../ctrlProps/ctrlProp52.xml"/><Relationship Id="rId28" Type="http://schemas.openxmlformats.org/officeDocument/2006/relationships/ctrlProp" Target="../ctrlProps/ctrlProp57.xml"/><Relationship Id="rId36" Type="http://schemas.openxmlformats.org/officeDocument/2006/relationships/ctrlProp" Target="../ctrlProps/ctrlProp65.xml"/><Relationship Id="rId10" Type="http://schemas.openxmlformats.org/officeDocument/2006/relationships/ctrlProp" Target="../ctrlProps/ctrlProp39.xml"/><Relationship Id="rId19" Type="http://schemas.openxmlformats.org/officeDocument/2006/relationships/ctrlProp" Target="../ctrlProps/ctrlProp48.xml"/><Relationship Id="rId31" Type="http://schemas.openxmlformats.org/officeDocument/2006/relationships/ctrlProp" Target="../ctrlProps/ctrlProp60.xml"/><Relationship Id="rId4" Type="http://schemas.openxmlformats.org/officeDocument/2006/relationships/ctrlProp" Target="../ctrlProps/ctrlProp33.xml"/><Relationship Id="rId9" Type="http://schemas.openxmlformats.org/officeDocument/2006/relationships/ctrlProp" Target="../ctrlProps/ctrlProp38.xml"/><Relationship Id="rId14" Type="http://schemas.openxmlformats.org/officeDocument/2006/relationships/ctrlProp" Target="../ctrlProps/ctrlProp43.xml"/><Relationship Id="rId22" Type="http://schemas.openxmlformats.org/officeDocument/2006/relationships/ctrlProp" Target="../ctrlProps/ctrlProp51.xml"/><Relationship Id="rId27" Type="http://schemas.openxmlformats.org/officeDocument/2006/relationships/ctrlProp" Target="../ctrlProps/ctrlProp56.xml"/><Relationship Id="rId30" Type="http://schemas.openxmlformats.org/officeDocument/2006/relationships/ctrlProp" Target="../ctrlProps/ctrlProp59.xml"/><Relationship Id="rId35" Type="http://schemas.openxmlformats.org/officeDocument/2006/relationships/ctrlProp" Target="../ctrlProps/ctrlProp64.xml"/><Relationship Id="rId8" Type="http://schemas.openxmlformats.org/officeDocument/2006/relationships/ctrlProp" Target="../ctrlProps/ctrlProp37.xml"/><Relationship Id="rId3" Type="http://schemas.openxmlformats.org/officeDocument/2006/relationships/ctrlProp" Target="../ctrlProps/ctrlProp3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B3D0-6FAA-47F3-94D8-F22E71CAE738}">
  <sheetPr>
    <pageSetUpPr fitToPage="1"/>
  </sheetPr>
  <dimension ref="A1:AT91"/>
  <sheetViews>
    <sheetView showGridLines="0" topLeftCell="A54" zoomScale="145" zoomScaleNormal="145" zoomScaleSheetLayoutView="68" workbookViewId="0">
      <selection activeCell="Q28" sqref="Q28"/>
    </sheetView>
  </sheetViews>
  <sheetFormatPr defaultColWidth="0" defaultRowHeight="14.45" zeroHeight="1"/>
  <cols>
    <col min="1" max="1" width="2.140625" customWidth="1"/>
    <col min="2" max="30" width="5.28515625" customWidth="1"/>
    <col min="31" max="31" width="10.5703125" customWidth="1"/>
    <col min="32" max="46" width="5.28515625" hidden="1" customWidth="1"/>
    <col min="47" max="16384" width="9.140625" hidden="1"/>
  </cols>
  <sheetData>
    <row r="1" spans="2:46" ht="8.25" customHeight="1"/>
    <row r="2" spans="2:46" ht="21.95" customHeight="1">
      <c r="B2" s="31" t="s">
        <v>0</v>
      </c>
      <c r="C2" s="31"/>
      <c r="D2" s="32"/>
      <c r="E2" s="27" t="s">
        <v>1</v>
      </c>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1"/>
      <c r="AS2" s="1"/>
      <c r="AT2" s="1"/>
    </row>
    <row r="3" spans="2:46" ht="21.95" customHeight="1">
      <c r="B3" s="31"/>
      <c r="C3" s="31"/>
      <c r="D3" s="32"/>
      <c r="E3" s="29" t="s">
        <v>2</v>
      </c>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2"/>
      <c r="AS3" s="2"/>
      <c r="AT3" s="2"/>
    </row>
    <row r="4" spans="2:46" ht="5.0999999999999996" customHeight="1" thickBot="1">
      <c r="B4" s="3"/>
      <c r="C4" s="4"/>
      <c r="D4" s="5"/>
      <c r="E4" s="5"/>
      <c r="F4" s="5"/>
      <c r="G4" s="5"/>
      <c r="H4" s="5"/>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row>
    <row r="5" spans="2:46" ht="5.0999999999999996" customHeight="1" thickTop="1"/>
    <row r="6" spans="2:46" ht="5.0999999999999996" customHeight="1"/>
    <row r="7" spans="2:46">
      <c r="B7" s="33" t="s">
        <v>3</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5"/>
    </row>
    <row r="8" spans="2:46">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5"/>
    </row>
    <row r="9" spans="2:46"/>
    <row r="10" spans="2:46">
      <c r="B10" s="38" t="s">
        <v>4</v>
      </c>
      <c r="C10" s="39"/>
      <c r="D10" s="39"/>
      <c r="E10" s="39"/>
      <c r="F10" s="39"/>
      <c r="G10" s="39"/>
      <c r="H10" s="39"/>
      <c r="I10" s="39"/>
      <c r="J10" s="39"/>
      <c r="K10" s="39"/>
      <c r="L10" s="39"/>
      <c r="M10" s="39"/>
      <c r="N10" s="39"/>
      <c r="O10" s="39"/>
      <c r="P10" s="40"/>
      <c r="Q10" s="36" t="s">
        <v>5</v>
      </c>
      <c r="R10" s="36"/>
      <c r="S10" s="36"/>
      <c r="T10" s="36"/>
      <c r="U10" s="36"/>
      <c r="V10" s="36"/>
      <c r="W10" s="36"/>
      <c r="X10" s="36"/>
      <c r="Y10" s="36"/>
      <c r="Z10" s="36"/>
      <c r="AA10" s="36"/>
      <c r="AB10" s="36"/>
      <c r="AC10" s="36"/>
      <c r="AD10" s="36"/>
      <c r="AE10" s="36"/>
      <c r="AF10" s="37"/>
      <c r="AG10" s="37"/>
      <c r="AH10" s="37"/>
      <c r="AI10" s="37"/>
      <c r="AJ10" s="37"/>
      <c r="AK10" s="37"/>
      <c r="AL10" s="37"/>
      <c r="AM10" s="37"/>
      <c r="AN10" s="37"/>
      <c r="AO10" s="37"/>
      <c r="AP10" s="37"/>
      <c r="AQ10" s="37"/>
      <c r="AR10" s="37"/>
      <c r="AS10" s="37"/>
      <c r="AT10" s="37"/>
    </row>
    <row r="11" spans="2:46" hidden="1">
      <c r="B11" s="25"/>
      <c r="C11" s="25"/>
      <c r="D11" s="25"/>
      <c r="E11" s="25"/>
      <c r="F11" s="25"/>
      <c r="G11" s="25"/>
      <c r="H11" s="25"/>
      <c r="I11" s="25"/>
      <c r="J11" s="25"/>
      <c r="K11" s="25"/>
      <c r="L11" s="25"/>
      <c r="M11" s="25"/>
      <c r="N11" s="25"/>
      <c r="O11" s="25"/>
      <c r="P11" s="25"/>
      <c r="Q11" s="36"/>
      <c r="R11" s="36"/>
      <c r="S11" s="36"/>
      <c r="T11" s="36"/>
      <c r="U11" s="36"/>
      <c r="V11" s="36"/>
      <c r="W11" s="36"/>
      <c r="X11" s="36"/>
      <c r="Y11" s="36"/>
      <c r="Z11" s="36"/>
      <c r="AA11" s="36"/>
      <c r="AB11" s="36"/>
      <c r="AC11" s="36"/>
      <c r="AD11" s="36"/>
      <c r="AE11" s="36"/>
      <c r="AF11" s="37"/>
      <c r="AG11" s="37"/>
      <c r="AH11" s="37"/>
      <c r="AI11" s="37"/>
      <c r="AJ11" s="37"/>
      <c r="AK11" s="37"/>
      <c r="AL11" s="37"/>
      <c r="AM11" s="37"/>
      <c r="AN11" s="37"/>
      <c r="AO11" s="37"/>
      <c r="AP11" s="37"/>
      <c r="AQ11" s="37"/>
      <c r="AR11" s="37"/>
      <c r="AS11" s="37"/>
      <c r="AT11" s="37"/>
    </row>
    <row r="12" spans="2:46">
      <c r="B12" s="59"/>
      <c r="C12" s="60"/>
      <c r="D12" s="60"/>
      <c r="E12" s="60"/>
      <c r="F12" s="60"/>
      <c r="G12" s="60"/>
      <c r="H12" s="60"/>
      <c r="I12" s="60"/>
      <c r="J12" s="60"/>
      <c r="K12" s="60"/>
      <c r="L12" s="60"/>
      <c r="M12" s="60"/>
      <c r="N12" s="60"/>
      <c r="O12" s="60"/>
      <c r="P12" s="65"/>
      <c r="Q12" s="56"/>
      <c r="R12" s="56"/>
      <c r="S12" s="56"/>
      <c r="T12" s="56"/>
      <c r="U12" s="56"/>
      <c r="V12" s="56"/>
      <c r="W12" s="56"/>
      <c r="X12" s="56"/>
      <c r="Y12" s="56"/>
      <c r="Z12" s="56"/>
      <c r="AA12" s="56"/>
      <c r="AB12" s="56"/>
      <c r="AC12" s="56"/>
      <c r="AD12" s="56"/>
      <c r="AE12" s="56"/>
      <c r="AF12" s="43"/>
      <c r="AG12" s="44"/>
      <c r="AH12" s="44"/>
      <c r="AI12" s="44"/>
      <c r="AJ12" s="44"/>
      <c r="AK12" s="44"/>
      <c r="AL12" s="44"/>
      <c r="AM12" s="44"/>
      <c r="AN12" s="44"/>
      <c r="AO12" s="44"/>
      <c r="AP12" s="44"/>
      <c r="AQ12" s="44"/>
      <c r="AR12" s="44"/>
      <c r="AS12" s="44"/>
      <c r="AT12" s="45"/>
    </row>
    <row r="13" spans="2:46" hidden="1">
      <c r="B13" s="20"/>
      <c r="C13" s="20"/>
      <c r="D13" s="20"/>
      <c r="E13" s="20"/>
      <c r="F13" s="20"/>
      <c r="G13" s="20"/>
      <c r="H13" s="20"/>
      <c r="I13" s="20"/>
      <c r="J13" s="20"/>
      <c r="K13" s="20"/>
      <c r="L13" s="20"/>
      <c r="M13" s="20"/>
      <c r="N13" s="20"/>
      <c r="O13" s="20"/>
      <c r="P13" s="20"/>
      <c r="Q13" s="56"/>
      <c r="R13" s="56"/>
      <c r="S13" s="56"/>
      <c r="T13" s="56"/>
      <c r="U13" s="56"/>
      <c r="V13" s="56"/>
      <c r="W13" s="56"/>
      <c r="X13" s="56"/>
      <c r="Y13" s="56"/>
      <c r="Z13" s="56"/>
      <c r="AA13" s="56"/>
      <c r="AB13" s="56"/>
      <c r="AC13" s="56"/>
      <c r="AD13" s="56"/>
      <c r="AE13" s="56"/>
      <c r="AF13" s="46"/>
      <c r="AG13" s="47"/>
      <c r="AH13" s="47"/>
      <c r="AI13" s="47"/>
      <c r="AJ13" s="47"/>
      <c r="AK13" s="47"/>
      <c r="AL13" s="47"/>
      <c r="AM13" s="47"/>
      <c r="AN13" s="47"/>
      <c r="AO13" s="47"/>
      <c r="AP13" s="47"/>
      <c r="AQ13" s="47"/>
      <c r="AR13" s="47"/>
      <c r="AS13" s="47"/>
      <c r="AT13" s="48"/>
    </row>
    <row r="14" spans="2:46">
      <c r="B14" s="38" t="s">
        <v>6</v>
      </c>
      <c r="C14" s="39"/>
      <c r="D14" s="39"/>
      <c r="E14" s="39"/>
      <c r="F14" s="39"/>
      <c r="G14" s="39"/>
      <c r="H14" s="39"/>
      <c r="I14" s="39"/>
      <c r="J14" s="39"/>
      <c r="K14" s="39"/>
      <c r="L14" s="39"/>
      <c r="M14" s="39"/>
      <c r="N14" s="39"/>
      <c r="O14" s="39"/>
      <c r="P14" s="40"/>
      <c r="Q14" s="36" t="s">
        <v>7</v>
      </c>
      <c r="R14" s="36"/>
      <c r="S14" s="36"/>
      <c r="T14" s="36"/>
      <c r="U14" s="36"/>
      <c r="V14" s="36"/>
      <c r="W14" s="36"/>
      <c r="X14" s="36"/>
      <c r="Y14" s="36"/>
      <c r="Z14" s="36"/>
      <c r="AA14" s="36"/>
      <c r="AB14" s="36"/>
      <c r="AC14" s="36"/>
      <c r="AD14" s="36"/>
      <c r="AE14" s="36"/>
      <c r="AF14" s="46"/>
      <c r="AG14" s="47"/>
      <c r="AH14" s="47"/>
      <c r="AI14" s="47"/>
      <c r="AJ14" s="47"/>
      <c r="AK14" s="47"/>
      <c r="AL14" s="47"/>
      <c r="AM14" s="47"/>
      <c r="AN14" s="47"/>
      <c r="AO14" s="47"/>
      <c r="AP14" s="47"/>
      <c r="AQ14" s="47"/>
      <c r="AR14" s="47"/>
      <c r="AS14" s="47"/>
      <c r="AT14" s="48"/>
    </row>
    <row r="15" spans="2:46" hidden="1">
      <c r="B15" s="25"/>
      <c r="C15" s="25"/>
      <c r="D15" s="25"/>
      <c r="E15" s="25"/>
      <c r="F15" s="25"/>
      <c r="G15" s="25"/>
      <c r="H15" s="25"/>
      <c r="I15" s="25"/>
      <c r="J15" s="25"/>
      <c r="K15" s="25"/>
      <c r="L15" s="25"/>
      <c r="M15" s="25"/>
      <c r="N15" s="25"/>
      <c r="O15" s="25"/>
      <c r="P15" s="25"/>
      <c r="Q15" s="36"/>
      <c r="R15" s="36"/>
      <c r="S15" s="36"/>
      <c r="T15" s="36"/>
      <c r="U15" s="36"/>
      <c r="V15" s="36"/>
      <c r="W15" s="36"/>
      <c r="X15" s="36"/>
      <c r="Y15" s="36"/>
      <c r="Z15" s="36"/>
      <c r="AA15" s="36"/>
      <c r="AB15" s="36"/>
      <c r="AC15" s="36"/>
      <c r="AD15" s="36"/>
      <c r="AE15" s="36"/>
      <c r="AF15" s="49"/>
      <c r="AG15" s="50"/>
      <c r="AH15" s="50"/>
      <c r="AI15" s="50"/>
      <c r="AJ15" s="50"/>
      <c r="AK15" s="50"/>
      <c r="AL15" s="50"/>
      <c r="AM15" s="50"/>
      <c r="AN15" s="50"/>
      <c r="AO15" s="50"/>
      <c r="AP15" s="50"/>
      <c r="AQ15" s="50"/>
      <c r="AR15" s="50"/>
      <c r="AS15" s="50"/>
      <c r="AT15" s="51"/>
    </row>
    <row r="16" spans="2:46">
      <c r="B16" s="59"/>
      <c r="C16" s="60"/>
      <c r="D16" s="60"/>
      <c r="E16" s="60"/>
      <c r="F16" s="60"/>
      <c r="G16" s="60"/>
      <c r="H16" s="60"/>
      <c r="I16" s="60"/>
      <c r="J16" s="60"/>
      <c r="K16" s="60"/>
      <c r="L16" s="60"/>
      <c r="M16" s="60"/>
      <c r="N16" s="60"/>
      <c r="O16" s="60"/>
      <c r="P16" s="65"/>
      <c r="Q16" s="56"/>
      <c r="R16" s="56"/>
      <c r="S16" s="56"/>
      <c r="T16" s="56"/>
      <c r="U16" s="56"/>
      <c r="V16" s="56"/>
      <c r="W16" s="56"/>
      <c r="X16" s="56"/>
      <c r="Y16" s="56"/>
      <c r="Z16" s="56"/>
      <c r="AA16" s="56"/>
      <c r="AB16" s="56"/>
      <c r="AC16" s="56"/>
      <c r="AD16" s="56"/>
      <c r="AE16" s="56"/>
      <c r="AF16" s="52"/>
      <c r="AG16" s="53"/>
      <c r="AH16" s="53"/>
      <c r="AI16" s="53"/>
      <c r="AJ16" s="53"/>
      <c r="AK16" s="53"/>
      <c r="AL16" s="53"/>
      <c r="AM16" s="53"/>
      <c r="AN16" s="53"/>
      <c r="AO16" s="53"/>
      <c r="AP16" s="53"/>
      <c r="AQ16" s="53"/>
      <c r="AR16" s="53"/>
      <c r="AS16" s="53"/>
      <c r="AT16" s="53"/>
    </row>
    <row r="17" spans="2:46" hidden="1">
      <c r="B17" s="21"/>
      <c r="C17" s="21"/>
      <c r="D17" s="21"/>
      <c r="E17" s="21"/>
      <c r="F17" s="21"/>
      <c r="G17" s="21"/>
      <c r="H17" s="21"/>
      <c r="I17" s="21"/>
      <c r="J17" s="21"/>
      <c r="K17" s="21"/>
      <c r="L17" s="21"/>
      <c r="M17" s="21"/>
      <c r="N17" s="21"/>
      <c r="O17" s="21"/>
      <c r="P17" s="21"/>
      <c r="Q17" s="57"/>
      <c r="R17" s="57"/>
      <c r="S17" s="57"/>
      <c r="T17" s="57"/>
      <c r="U17" s="57"/>
      <c r="V17" s="57"/>
      <c r="W17" s="57"/>
      <c r="X17" s="57"/>
      <c r="Y17" s="57"/>
      <c r="Z17" s="57"/>
      <c r="AA17" s="57"/>
      <c r="AB17" s="57"/>
      <c r="AC17" s="57"/>
      <c r="AD17" s="57"/>
      <c r="AE17" s="57"/>
      <c r="AF17" s="54"/>
      <c r="AG17" s="55"/>
      <c r="AH17" s="55"/>
      <c r="AI17" s="55"/>
      <c r="AJ17" s="55"/>
      <c r="AK17" s="55"/>
      <c r="AL17" s="55"/>
      <c r="AM17" s="55"/>
      <c r="AN17" s="55"/>
      <c r="AO17" s="55"/>
      <c r="AP17" s="55"/>
      <c r="AQ17" s="55"/>
      <c r="AR17" s="55"/>
      <c r="AS17" s="55"/>
      <c r="AT17" s="55"/>
    </row>
    <row r="18" spans="2:46">
      <c r="B18" s="38" t="s">
        <v>8</v>
      </c>
      <c r="C18" s="39"/>
      <c r="D18" s="39"/>
      <c r="E18" s="39"/>
      <c r="F18" s="39"/>
      <c r="G18" s="39"/>
      <c r="H18" s="39"/>
      <c r="I18" s="39"/>
      <c r="J18" s="39"/>
      <c r="K18" s="39"/>
      <c r="L18" s="39"/>
      <c r="M18" s="39"/>
      <c r="N18" s="39"/>
      <c r="O18" s="39"/>
      <c r="P18" s="40"/>
      <c r="Q18" s="36" t="s">
        <v>9</v>
      </c>
      <c r="R18" s="36"/>
      <c r="S18" s="36"/>
      <c r="T18" s="36"/>
      <c r="U18" s="36"/>
      <c r="V18" s="36"/>
      <c r="W18" s="36"/>
      <c r="X18" s="36"/>
      <c r="Y18" s="36"/>
      <c r="Z18" s="36"/>
      <c r="AA18" s="36"/>
      <c r="AB18" s="36"/>
      <c r="AC18" s="36"/>
      <c r="AD18" s="36"/>
      <c r="AE18" s="36"/>
      <c r="AF18" s="54"/>
      <c r="AG18" s="55"/>
      <c r="AH18" s="55"/>
      <c r="AI18" s="55"/>
      <c r="AJ18" s="55"/>
      <c r="AK18" s="55"/>
      <c r="AL18" s="55"/>
      <c r="AM18" s="55"/>
      <c r="AN18" s="55"/>
      <c r="AO18" s="55"/>
      <c r="AP18" s="55"/>
      <c r="AQ18" s="55"/>
      <c r="AR18" s="55"/>
      <c r="AS18" s="55"/>
      <c r="AT18" s="55"/>
    </row>
    <row r="19" spans="2:46" hidden="1">
      <c r="B19" s="25"/>
      <c r="C19" s="25"/>
      <c r="D19" s="25"/>
      <c r="E19" s="25"/>
      <c r="F19" s="25"/>
      <c r="G19" s="25"/>
      <c r="H19" s="25"/>
      <c r="I19" s="25"/>
      <c r="J19" s="25"/>
      <c r="K19" s="25"/>
      <c r="L19" s="25"/>
      <c r="M19" s="25"/>
      <c r="N19" s="25"/>
      <c r="O19" s="25"/>
      <c r="P19" s="25"/>
      <c r="Q19" s="36"/>
      <c r="R19" s="36"/>
      <c r="S19" s="36"/>
      <c r="T19" s="36"/>
      <c r="U19" s="36"/>
      <c r="V19" s="36"/>
      <c r="W19" s="36"/>
      <c r="X19" s="36"/>
      <c r="Y19" s="36"/>
      <c r="Z19" s="36"/>
      <c r="AA19" s="36"/>
      <c r="AB19" s="36"/>
      <c r="AC19" s="36"/>
      <c r="AD19" s="36"/>
      <c r="AE19" s="36"/>
      <c r="AF19" s="54"/>
      <c r="AG19" s="55"/>
      <c r="AH19" s="55"/>
      <c r="AI19" s="55"/>
      <c r="AJ19" s="55"/>
      <c r="AK19" s="55"/>
      <c r="AL19" s="55"/>
      <c r="AM19" s="55"/>
      <c r="AN19" s="55"/>
      <c r="AO19" s="55"/>
      <c r="AP19" s="55"/>
      <c r="AQ19" s="55"/>
      <c r="AR19" s="55"/>
      <c r="AS19" s="55"/>
      <c r="AT19" s="55"/>
    </row>
    <row r="20" spans="2:46">
      <c r="B20" s="59"/>
      <c r="C20" s="60"/>
      <c r="D20" s="60"/>
      <c r="E20" s="60"/>
      <c r="F20" s="60"/>
      <c r="G20" s="60"/>
      <c r="H20" s="60"/>
      <c r="I20" s="60"/>
      <c r="J20" s="60"/>
      <c r="K20" s="60"/>
      <c r="L20" s="60"/>
      <c r="M20" s="60"/>
      <c r="N20" s="60"/>
      <c r="O20" s="60"/>
      <c r="P20" s="65"/>
      <c r="Q20" s="56"/>
      <c r="R20" s="56"/>
      <c r="S20" s="56"/>
      <c r="T20" s="56"/>
      <c r="U20" s="56"/>
      <c r="V20" s="56"/>
      <c r="W20" s="56"/>
      <c r="X20" s="56"/>
      <c r="Y20" s="56"/>
      <c r="Z20" s="56"/>
      <c r="AA20" s="56"/>
      <c r="AB20" s="56"/>
      <c r="AC20" s="56"/>
      <c r="AD20" s="56"/>
      <c r="AE20" s="56"/>
      <c r="AF20" s="54"/>
      <c r="AG20" s="55"/>
      <c r="AH20" s="55"/>
      <c r="AI20" s="55"/>
      <c r="AJ20" s="55"/>
      <c r="AK20" s="55"/>
      <c r="AL20" s="55"/>
      <c r="AM20" s="55"/>
      <c r="AN20" s="55"/>
      <c r="AO20" s="55"/>
      <c r="AP20" s="55"/>
      <c r="AQ20" s="55"/>
      <c r="AR20" s="55"/>
      <c r="AS20" s="55"/>
      <c r="AT20" s="55"/>
    </row>
    <row r="21" spans="2:46" hidden="1">
      <c r="B21" s="20"/>
      <c r="C21" s="20"/>
      <c r="D21" s="20"/>
      <c r="E21" s="20"/>
      <c r="F21" s="20"/>
      <c r="G21" s="20"/>
      <c r="H21" s="20"/>
      <c r="I21" s="20"/>
      <c r="J21" s="20"/>
      <c r="K21" s="20"/>
      <c r="L21" s="20"/>
      <c r="M21" s="20"/>
      <c r="N21" s="20"/>
      <c r="O21" s="20"/>
      <c r="P21" s="20"/>
      <c r="Q21" s="56"/>
      <c r="R21" s="56"/>
      <c r="S21" s="56"/>
      <c r="T21" s="56"/>
      <c r="U21" s="56"/>
      <c r="V21" s="56"/>
      <c r="W21" s="56"/>
      <c r="X21" s="56"/>
      <c r="Y21" s="56"/>
      <c r="Z21" s="56"/>
      <c r="AA21" s="56"/>
      <c r="AB21" s="56"/>
      <c r="AC21" s="56"/>
      <c r="AD21" s="56"/>
      <c r="AE21" s="56"/>
      <c r="AF21" s="54"/>
      <c r="AG21" s="55"/>
      <c r="AH21" s="55"/>
      <c r="AI21" s="55"/>
      <c r="AJ21" s="55"/>
      <c r="AK21" s="55"/>
      <c r="AL21" s="55"/>
      <c r="AM21" s="55"/>
      <c r="AN21" s="55"/>
      <c r="AO21" s="55"/>
      <c r="AP21" s="55"/>
      <c r="AQ21" s="55"/>
      <c r="AR21" s="55"/>
      <c r="AS21" s="55"/>
      <c r="AT21" s="55"/>
    </row>
    <row r="22" spans="2:46">
      <c r="B22" s="69" t="s">
        <v>10</v>
      </c>
      <c r="C22" s="70"/>
      <c r="D22" s="70"/>
      <c r="E22" s="70"/>
      <c r="F22" s="70"/>
      <c r="G22" s="70"/>
      <c r="H22" s="70"/>
      <c r="I22" s="70"/>
      <c r="J22" s="70"/>
      <c r="K22" s="70"/>
      <c r="L22" s="70"/>
      <c r="M22" s="70"/>
      <c r="N22" s="70"/>
      <c r="O22" s="70"/>
      <c r="P22" s="71"/>
      <c r="Q22" s="36" t="s">
        <v>11</v>
      </c>
      <c r="R22" s="36"/>
      <c r="S22" s="36"/>
      <c r="T22" s="36"/>
      <c r="U22" s="36"/>
      <c r="V22" s="36"/>
      <c r="W22" s="36"/>
      <c r="X22" s="36"/>
      <c r="Y22" s="36"/>
      <c r="Z22" s="36"/>
      <c r="AA22" s="36"/>
      <c r="AB22" s="36"/>
      <c r="AC22" s="36"/>
      <c r="AD22" s="36"/>
      <c r="AE22" s="36"/>
      <c r="AF22" s="54"/>
      <c r="AG22" s="55"/>
      <c r="AH22" s="55"/>
      <c r="AI22" s="55"/>
      <c r="AJ22" s="55"/>
      <c r="AK22" s="55"/>
      <c r="AL22" s="55"/>
      <c r="AM22" s="55"/>
      <c r="AN22" s="55"/>
      <c r="AO22" s="55"/>
      <c r="AP22" s="55"/>
      <c r="AQ22" s="55"/>
      <c r="AR22" s="55"/>
      <c r="AS22" s="55"/>
      <c r="AT22" s="55"/>
    </row>
    <row r="23" spans="2:46" hidden="1">
      <c r="B23" s="25"/>
      <c r="C23" s="25"/>
      <c r="D23" s="25"/>
      <c r="E23" s="25"/>
      <c r="F23" s="25"/>
      <c r="G23" s="25"/>
      <c r="H23" s="25"/>
      <c r="I23" s="25"/>
      <c r="J23" s="25"/>
      <c r="K23" s="25"/>
      <c r="L23" s="25"/>
      <c r="M23" s="25"/>
      <c r="N23" s="25"/>
      <c r="O23" s="25"/>
      <c r="P23" s="25"/>
      <c r="Q23" s="36"/>
      <c r="R23" s="36"/>
      <c r="S23" s="36"/>
      <c r="T23" s="36"/>
      <c r="U23" s="36"/>
      <c r="V23" s="36"/>
      <c r="W23" s="36"/>
      <c r="X23" s="36"/>
      <c r="Y23" s="36"/>
      <c r="Z23" s="36"/>
      <c r="AA23" s="36"/>
      <c r="AB23" s="36"/>
      <c r="AC23" s="36"/>
      <c r="AD23" s="36"/>
      <c r="AE23" s="36"/>
      <c r="AF23" s="54"/>
      <c r="AG23" s="55"/>
      <c r="AH23" s="55"/>
      <c r="AI23" s="55"/>
      <c r="AJ23" s="55"/>
      <c r="AK23" s="55"/>
      <c r="AL23" s="55"/>
      <c r="AM23" s="55"/>
      <c r="AN23" s="55"/>
      <c r="AO23" s="55"/>
      <c r="AP23" s="55"/>
      <c r="AQ23" s="55"/>
      <c r="AR23" s="55"/>
      <c r="AS23" s="55"/>
      <c r="AT23" s="55"/>
    </row>
    <row r="24" spans="2:46">
      <c r="B24" s="59"/>
      <c r="C24" s="60"/>
      <c r="D24" s="60"/>
      <c r="E24" s="60"/>
      <c r="F24" s="60"/>
      <c r="G24" s="60"/>
      <c r="H24" s="60"/>
      <c r="I24" s="60"/>
      <c r="J24" s="60"/>
      <c r="K24" s="60"/>
      <c r="L24" s="60"/>
      <c r="M24" s="60"/>
      <c r="N24" s="60"/>
      <c r="O24" s="60"/>
      <c r="P24" s="65"/>
      <c r="Q24" s="59"/>
      <c r="R24" s="60"/>
      <c r="S24" s="60"/>
      <c r="T24" s="60"/>
      <c r="U24" s="60"/>
      <c r="V24" s="60"/>
      <c r="W24" s="60"/>
      <c r="X24" s="60"/>
      <c r="Y24" s="60"/>
      <c r="Z24" s="60"/>
      <c r="AA24" s="60"/>
      <c r="AB24" s="60"/>
      <c r="AC24" s="60"/>
      <c r="AD24" s="60"/>
      <c r="AE24" s="61"/>
      <c r="AF24" s="55"/>
      <c r="AG24" s="55"/>
      <c r="AH24" s="55"/>
      <c r="AI24" s="55"/>
      <c r="AJ24" s="55"/>
      <c r="AK24" s="55"/>
      <c r="AL24" s="55"/>
      <c r="AM24" s="55"/>
      <c r="AN24" s="55"/>
      <c r="AO24" s="55"/>
      <c r="AP24" s="55"/>
      <c r="AQ24" s="55"/>
      <c r="AR24" s="55"/>
      <c r="AS24" s="55"/>
      <c r="AT24" s="55"/>
    </row>
    <row r="25" spans="2:46" ht="14.45" hidden="1" customHeight="1">
      <c r="B25" s="20"/>
      <c r="C25" s="20"/>
      <c r="D25" s="20"/>
      <c r="E25" s="20"/>
      <c r="F25" s="20"/>
      <c r="G25" s="20"/>
      <c r="H25" s="20"/>
      <c r="I25" s="20"/>
      <c r="J25" s="20"/>
      <c r="K25" s="20"/>
      <c r="L25" s="20"/>
      <c r="M25" s="20"/>
      <c r="N25" s="20"/>
      <c r="O25" s="20"/>
      <c r="P25" s="20"/>
      <c r="Q25" s="23"/>
      <c r="R25" s="23"/>
      <c r="S25" s="23"/>
      <c r="T25" s="23"/>
      <c r="U25" s="23"/>
      <c r="V25" s="23"/>
      <c r="W25" s="23"/>
      <c r="X25" s="23"/>
      <c r="Y25" s="23"/>
      <c r="Z25" s="23"/>
      <c r="AA25" s="23"/>
      <c r="AB25" s="23"/>
      <c r="AC25" s="23"/>
      <c r="AD25" s="23"/>
      <c r="AE25" s="24"/>
      <c r="AF25" s="55"/>
      <c r="AG25" s="55"/>
      <c r="AH25" s="55"/>
      <c r="AI25" s="55"/>
      <c r="AJ25" s="55"/>
      <c r="AK25" s="55"/>
      <c r="AL25" s="55"/>
      <c r="AM25" s="55"/>
      <c r="AN25" s="55"/>
      <c r="AO25" s="55"/>
      <c r="AP25" s="55"/>
      <c r="AQ25" s="55"/>
      <c r="AR25" s="55"/>
      <c r="AS25" s="55"/>
      <c r="AT25" s="55"/>
    </row>
    <row r="26" spans="2:46">
      <c r="B26" s="38" t="s">
        <v>12</v>
      </c>
      <c r="C26" s="39"/>
      <c r="D26" s="39"/>
      <c r="E26" s="39"/>
      <c r="F26" s="39"/>
      <c r="G26" s="39"/>
      <c r="H26" s="39"/>
      <c r="I26" s="39"/>
      <c r="J26" s="39"/>
      <c r="K26" s="39"/>
      <c r="L26" s="39"/>
      <c r="M26" s="39"/>
      <c r="N26" s="39"/>
      <c r="O26" s="39"/>
      <c r="P26" s="40"/>
      <c r="Q26" s="38" t="s">
        <v>13</v>
      </c>
      <c r="R26" s="39"/>
      <c r="S26" s="39"/>
      <c r="T26" s="39"/>
      <c r="U26" s="39"/>
      <c r="V26" s="39"/>
      <c r="W26" s="39"/>
      <c r="X26" s="39"/>
      <c r="Y26" s="39"/>
      <c r="Z26" s="39"/>
      <c r="AA26" s="39"/>
      <c r="AB26" s="39"/>
      <c r="AC26" s="39"/>
      <c r="AD26" s="39"/>
      <c r="AE26" s="40"/>
      <c r="AF26" s="8"/>
      <c r="AG26" s="8"/>
      <c r="AH26" s="8"/>
      <c r="AI26" s="8"/>
      <c r="AJ26" s="8"/>
      <c r="AK26" s="8"/>
      <c r="AL26" s="8"/>
      <c r="AM26" s="8"/>
      <c r="AN26" s="8"/>
      <c r="AO26" s="8"/>
      <c r="AP26" s="8"/>
      <c r="AQ26" s="8"/>
      <c r="AR26" s="8"/>
      <c r="AS26" s="8"/>
      <c r="AT26" s="8"/>
    </row>
    <row r="27" spans="2:46" hidden="1">
      <c r="B27" s="25"/>
      <c r="C27" s="25"/>
      <c r="D27" s="25"/>
      <c r="E27" s="25"/>
      <c r="F27" s="25"/>
      <c r="G27" s="25"/>
      <c r="H27" s="25"/>
      <c r="I27" s="25"/>
      <c r="J27" s="25"/>
      <c r="K27" s="25"/>
      <c r="L27" s="25"/>
      <c r="M27" s="25"/>
      <c r="N27" s="25"/>
      <c r="O27" s="25"/>
      <c r="P27" s="25"/>
      <c r="Q27" s="19"/>
      <c r="R27" s="19"/>
      <c r="S27" s="19"/>
      <c r="T27" s="19"/>
      <c r="U27" s="19"/>
      <c r="V27" s="19"/>
      <c r="W27" s="19"/>
      <c r="X27" s="19"/>
      <c r="Y27" s="19"/>
      <c r="Z27" s="19"/>
      <c r="AA27" s="19"/>
      <c r="AB27" s="19"/>
      <c r="AC27" s="19"/>
      <c r="AD27" s="19"/>
      <c r="AE27" s="19"/>
      <c r="AF27" s="8"/>
      <c r="AG27" s="8"/>
      <c r="AH27" s="8"/>
      <c r="AI27" s="8"/>
      <c r="AJ27" s="8"/>
      <c r="AK27" s="8"/>
      <c r="AL27" s="8"/>
      <c r="AM27" s="8"/>
      <c r="AN27" s="8"/>
      <c r="AO27" s="8"/>
      <c r="AP27" s="8"/>
      <c r="AQ27" s="8"/>
      <c r="AR27" s="8"/>
      <c r="AS27" s="8"/>
      <c r="AT27" s="8"/>
    </row>
    <row r="28" spans="2:46">
      <c r="B28" s="66"/>
      <c r="C28" s="67"/>
      <c r="D28" s="67"/>
      <c r="E28" s="67"/>
      <c r="F28" s="67"/>
      <c r="G28" s="67"/>
      <c r="H28" s="67"/>
      <c r="I28" s="67"/>
      <c r="J28" s="67"/>
      <c r="K28" s="67"/>
      <c r="L28" s="67"/>
      <c r="M28" s="67"/>
      <c r="N28" s="67"/>
      <c r="O28" s="67"/>
      <c r="P28" s="68"/>
      <c r="Q28" s="62"/>
      <c r="R28" s="63"/>
      <c r="S28" s="63"/>
      <c r="T28" s="63"/>
      <c r="U28" s="63"/>
      <c r="V28" s="63"/>
      <c r="W28" s="63"/>
      <c r="X28" s="63"/>
      <c r="Y28" s="63"/>
      <c r="Z28" s="63"/>
      <c r="AA28" s="63"/>
      <c r="AB28" s="63"/>
      <c r="AC28" s="63"/>
      <c r="AD28" s="63"/>
      <c r="AE28" s="64"/>
      <c r="AF28" s="8"/>
      <c r="AG28" s="8"/>
      <c r="AH28" s="8"/>
      <c r="AI28" s="8"/>
      <c r="AJ28" s="8"/>
      <c r="AK28" s="8"/>
      <c r="AL28" s="8"/>
      <c r="AM28" s="8"/>
      <c r="AN28" s="8"/>
      <c r="AO28" s="8"/>
      <c r="AP28" s="8"/>
      <c r="AQ28" s="8"/>
      <c r="AR28" s="8"/>
      <c r="AS28" s="8"/>
      <c r="AT28" s="8"/>
    </row>
    <row r="29" spans="2:46" hidden="1">
      <c r="B29" s="22"/>
      <c r="C29" s="22"/>
      <c r="D29" s="22"/>
      <c r="E29" s="22"/>
      <c r="F29" s="22"/>
      <c r="G29" s="22"/>
      <c r="H29" s="22"/>
      <c r="I29" s="22"/>
      <c r="J29" s="22"/>
      <c r="K29" s="22"/>
      <c r="L29" s="22"/>
      <c r="M29" s="22"/>
      <c r="N29" s="22"/>
      <c r="O29" s="22"/>
      <c r="P29" s="22"/>
      <c r="Q29" s="7"/>
      <c r="R29" s="7"/>
      <c r="S29" s="7"/>
      <c r="T29" s="7"/>
      <c r="U29" s="7"/>
      <c r="V29" s="7"/>
      <c r="W29" s="7"/>
      <c r="X29" s="7"/>
      <c r="Y29" s="7"/>
      <c r="Z29" s="7"/>
      <c r="AA29" s="7"/>
      <c r="AB29" s="7"/>
      <c r="AC29" s="7"/>
      <c r="AD29" s="7"/>
      <c r="AE29" s="7"/>
      <c r="AF29" s="8"/>
      <c r="AG29" s="8"/>
      <c r="AH29" s="8"/>
      <c r="AI29" s="8"/>
      <c r="AJ29" s="8"/>
      <c r="AK29" s="8"/>
      <c r="AL29" s="8"/>
      <c r="AM29" s="8"/>
      <c r="AN29" s="8"/>
      <c r="AO29" s="8"/>
      <c r="AP29" s="8"/>
      <c r="AQ29" s="8"/>
      <c r="AR29" s="8"/>
      <c r="AS29" s="8"/>
      <c r="AT29" s="8"/>
    </row>
    <row r="30" spans="2:46"/>
    <row r="31" spans="2:46">
      <c r="B31" s="58" t="s">
        <v>14</v>
      </c>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row>
    <row r="32" spans="2:46">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row>
    <row r="33" spans="2:46" ht="14.45" customHeight="1">
      <c r="B33" s="41" t="s">
        <v>15</v>
      </c>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row>
    <row r="34" spans="2:46">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row>
    <row r="35" spans="2:46">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row>
    <row r="36" spans="2:46">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row>
    <row r="37" spans="2:46">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row>
    <row r="38" spans="2:46">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row>
    <row r="39" spans="2:46">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row>
    <row r="40" spans="2:46">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row>
    <row r="41" spans="2:46">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row>
    <row r="42" spans="2:46">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row>
    <row r="43" spans="2:46">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row>
    <row r="44" spans="2:46">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row>
    <row r="45" spans="2:46">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row>
    <row r="46" spans="2:46">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row>
    <row r="47" spans="2:46">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row>
    <row r="48" spans="2:46">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row>
    <row r="49" spans="2:46">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row>
    <row r="50" spans="2:46">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row>
    <row r="51" spans="2:46">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row>
    <row r="52" spans="2:46">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row>
    <row r="53" spans="2:46">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row>
    <row r="54" spans="2:46">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row>
    <row r="55" spans="2:46">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row>
    <row r="56" spans="2:46">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row>
    <row r="57" spans="2:46">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row>
    <row r="58" spans="2:46">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row>
    <row r="59" spans="2:46">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row>
    <row r="60" spans="2:46">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row>
    <row r="61" spans="2:46">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row>
    <row r="62" spans="2:46" ht="14.45" customHeight="1">
      <c r="B62" s="58" t="s">
        <v>16</v>
      </c>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26"/>
      <c r="AG62" s="26"/>
      <c r="AH62" s="26"/>
      <c r="AI62" s="26"/>
      <c r="AJ62" s="26"/>
      <c r="AK62" s="26"/>
      <c r="AL62" s="26"/>
      <c r="AM62" s="26"/>
      <c r="AN62" s="26"/>
      <c r="AO62" s="26"/>
      <c r="AP62" s="26"/>
      <c r="AQ62" s="26"/>
      <c r="AR62" s="26"/>
      <c r="AS62" s="26"/>
      <c r="AT62" s="26"/>
    </row>
    <row r="63" spans="2:46" ht="14.45" hidden="1" customHeight="1">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row>
    <row r="64" spans="2:46">
      <c r="B64" s="41" t="s">
        <v>17</v>
      </c>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row>
    <row r="65" spans="2:46">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row>
    <row r="66" spans="2:46">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row>
    <row r="67" spans="2:46">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row>
    <row r="68" spans="2:46">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row>
    <row r="69" spans="2:46">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row>
    <row r="70" spans="2:46">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row>
    <row r="71" spans="2:46">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row>
    <row r="72" spans="2:46">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row>
    <row r="73" spans="2:46">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row>
    <row r="74" spans="2:46">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row>
    <row r="75" spans="2:46">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row>
    <row r="76" spans="2:46">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row>
    <row r="77" spans="2:46">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row>
    <row r="78" spans="2:46">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row>
    <row r="79" spans="2:46">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row>
    <row r="80" spans="2:46">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row>
    <row r="81" spans="2:46">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row>
    <row r="82" spans="2:46">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row>
    <row r="83" spans="2:46">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row>
    <row r="84" spans="2:46" ht="8.1" customHeight="1">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row>
    <row r="85" spans="2:46" ht="3.6" hidden="1" customHeight="1">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row>
    <row r="86" spans="2:46" hidden="1">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row>
    <row r="87" spans="2:46" hidden="1">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row>
    <row r="88" spans="2:46" ht="5.0999999999999996" customHeight="1">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row>
    <row r="89" spans="2:46" hidden="1">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row>
    <row r="90" spans="2:46" hidden="1">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row>
    <row r="91" spans="2:46" hidden="1">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row>
  </sheetData>
  <mergeCells count="31">
    <mergeCell ref="B14:P14"/>
    <mergeCell ref="B26:P26"/>
    <mergeCell ref="B16:P16"/>
    <mergeCell ref="B20:P20"/>
    <mergeCell ref="B24:P24"/>
    <mergeCell ref="B28:P28"/>
    <mergeCell ref="B22:P22"/>
    <mergeCell ref="B18:P18"/>
    <mergeCell ref="B64:AT91"/>
    <mergeCell ref="AF12:AT15"/>
    <mergeCell ref="AF16:AT25"/>
    <mergeCell ref="Q12:AE13"/>
    <mergeCell ref="Q14:AE15"/>
    <mergeCell ref="Q20:AE21"/>
    <mergeCell ref="Q22:AE23"/>
    <mergeCell ref="Q16:AE17"/>
    <mergeCell ref="Q18:AE19"/>
    <mergeCell ref="B33:AT61"/>
    <mergeCell ref="B31:AT32"/>
    <mergeCell ref="Q24:AE24"/>
    <mergeCell ref="Q26:AE26"/>
    <mergeCell ref="Q28:AE28"/>
    <mergeCell ref="B62:AE62"/>
    <mergeCell ref="B12:P12"/>
    <mergeCell ref="E2:AQ2"/>
    <mergeCell ref="E3:AQ3"/>
    <mergeCell ref="B2:D3"/>
    <mergeCell ref="B7:AT8"/>
    <mergeCell ref="Q10:AE11"/>
    <mergeCell ref="AF10:AT11"/>
    <mergeCell ref="B10:P10"/>
  </mergeCells>
  <pageMargins left="0.23622047244094491" right="0.23622047244094491" top="0.35433070866141736" bottom="0.74803149606299213" header="0.31496062992125984" footer="0.31496062992125984"/>
  <pageSetup paperSize="9" scale="75" fitToHeight="0" orientation="portrait" r:id="rId1"/>
  <headerFooter>
    <oddFooter>&amp;L&amp;"-,Negrito"&amp;7&amp;K000000CLASSIFICAÇÃO DA INFORMAÇÃO&amp;"-,Regular": USO INTERNO
&amp;"-,Negrito"CÓDIGO:&amp;"-,Regular" XXX.00X&amp;C&amp;"-,Negrito"&amp;7I&amp;K000000NSERIR O TIPO DE DOCUMENTO&amp;R&amp;K000000   &amp;7PÁGINA&amp;"-,Negrito" &amp;P&amp;"-,Regular" DE &amp;"-,Negrito"&amp;N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9E79-56C4-4082-BD99-9B2CC63D88F2}">
  <dimension ref="B1:AV122"/>
  <sheetViews>
    <sheetView showGridLines="0" topLeftCell="A23" workbookViewId="0">
      <selection activeCell="AG55" sqref="AG55:AT55"/>
    </sheetView>
  </sheetViews>
  <sheetFormatPr defaultColWidth="9.140625" defaultRowHeight="14.45"/>
  <cols>
    <col min="1" max="1" width="2.140625" customWidth="1"/>
    <col min="2" max="46" width="5.28515625" customWidth="1"/>
    <col min="48" max="48" width="0" hidden="1" customWidth="1"/>
  </cols>
  <sheetData>
    <row r="1" spans="2:46" ht="8.25" customHeight="1"/>
    <row r="2" spans="2:46" ht="21.95" customHeight="1">
      <c r="B2" s="31" t="s">
        <v>18</v>
      </c>
      <c r="C2" s="31"/>
      <c r="D2" s="32"/>
      <c r="E2" s="27" t="s">
        <v>1</v>
      </c>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1"/>
      <c r="AT2" s="1"/>
    </row>
    <row r="3" spans="2:46" ht="21.95" customHeight="1">
      <c r="B3" s="31"/>
      <c r="C3" s="31"/>
      <c r="D3" s="32"/>
      <c r="E3" s="29" t="s">
        <v>2</v>
      </c>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2"/>
      <c r="AT3" s="2"/>
    </row>
    <row r="4" spans="2:46" ht="5.0999999999999996" customHeight="1" thickBot="1">
      <c r="B4" s="3"/>
      <c r="C4" s="4"/>
      <c r="D4" s="5"/>
      <c r="E4" s="5"/>
      <c r="F4" s="5"/>
      <c r="G4" s="5"/>
      <c r="H4" s="5"/>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row>
    <row r="5" spans="2:46" ht="5.0999999999999996" customHeight="1" thickTop="1"/>
    <row r="6" spans="2:46" ht="5.0999999999999996" customHeight="1"/>
    <row r="7" spans="2:46">
      <c r="B7" s="72" t="s">
        <v>19</v>
      </c>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row>
    <row r="8" spans="2:46">
      <c r="B8" s="73"/>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row>
    <row r="9" spans="2:46">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row>
    <row r="10" spans="2:46">
      <c r="B10" s="74" t="s">
        <v>20</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row>
    <row r="11" spans="2:4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row>
    <row r="12" spans="2:46">
      <c r="B12" s="105" t="s">
        <v>21</v>
      </c>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row>
    <row r="13" spans="2:46">
      <c r="B13" s="106" t="s">
        <v>22</v>
      </c>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row>
    <row r="14" spans="2:46">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row>
    <row r="15" spans="2:46">
      <c r="B15" s="91" t="s">
        <v>23</v>
      </c>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row>
    <row r="16" spans="2:46">
      <c r="B16" s="91"/>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row>
    <row r="17" spans="2:46">
      <c r="B17" s="92"/>
      <c r="C17" s="92"/>
      <c r="D17" s="92"/>
      <c r="E17" s="92"/>
      <c r="F17" s="92"/>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row>
    <row r="18" spans="2:46">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row>
    <row r="19" spans="2:46">
      <c r="B19" s="91" t="s">
        <v>24</v>
      </c>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row>
    <row r="20" spans="2:46">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row>
    <row r="21" spans="2:46">
      <c r="B21" s="83" t="s">
        <v>25</v>
      </c>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5"/>
    </row>
    <row r="22" spans="2:46">
      <c r="B22" s="86"/>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87"/>
    </row>
    <row r="23" spans="2:46">
      <c r="B23" s="86"/>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87"/>
    </row>
    <row r="24" spans="2:46">
      <c r="B24" s="88"/>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90"/>
    </row>
    <row r="25" spans="2:46">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row>
    <row r="26" spans="2:46">
      <c r="B26" s="91" t="s">
        <v>26</v>
      </c>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row>
    <row r="27" spans="2:46">
      <c r="B27" s="91"/>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row>
    <row r="28" spans="2:46">
      <c r="B28" s="107" t="s">
        <v>27</v>
      </c>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2"/>
    </row>
    <row r="29" spans="2:46">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row>
    <row r="30" spans="2:46">
      <c r="B30" s="105" t="s">
        <v>28</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row>
    <row r="31" spans="2:46" ht="15.6">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row>
    <row r="32" spans="2:46">
      <c r="B32" s="107" t="s">
        <v>29</v>
      </c>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2"/>
    </row>
    <row r="33" spans="2:46" ht="15.6" customHeight="1">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row>
    <row r="34" spans="2:46" ht="15.6" customHeight="1">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row>
    <row r="35" spans="2:46" ht="15.6" customHeight="1">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row>
    <row r="36" spans="2:46" ht="15.6" customHeight="1">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row>
    <row r="37" spans="2:46" ht="15.6" customHeight="1">
      <c r="B37" s="114" t="s">
        <v>30</v>
      </c>
      <c r="C37" s="115"/>
      <c r="D37" s="115"/>
      <c r="E37" s="115"/>
      <c r="F37" s="115"/>
      <c r="G37" s="116"/>
      <c r="H37" s="93" t="s">
        <v>25</v>
      </c>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5"/>
    </row>
    <row r="38" spans="2:46" ht="15.6" customHeight="1">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row>
    <row r="39" spans="2:46" ht="15.6" customHeight="1">
      <c r="B39" s="107" t="s">
        <v>31</v>
      </c>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2"/>
    </row>
    <row r="40" spans="2:46" ht="15.6" customHeight="1">
      <c r="B40" s="96"/>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8"/>
    </row>
    <row r="41" spans="2:46" ht="15.6" customHeight="1">
      <c r="B41" s="99"/>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1"/>
    </row>
    <row r="42" spans="2:46" ht="15.6" customHeight="1">
      <c r="B42" s="102"/>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4"/>
    </row>
    <row r="43" spans="2:46" ht="15.6" customHeight="1">
      <c r="B43" s="114" t="s">
        <v>30</v>
      </c>
      <c r="C43" s="115"/>
      <c r="D43" s="115"/>
      <c r="E43" s="115"/>
      <c r="F43" s="115"/>
      <c r="G43" s="116"/>
      <c r="H43" s="93" t="s">
        <v>25</v>
      </c>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5"/>
    </row>
    <row r="44" spans="2:46" ht="15.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row>
    <row r="45" spans="2:46">
      <c r="B45" s="80" t="s">
        <v>32</v>
      </c>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2"/>
    </row>
    <row r="46" spans="2:46">
      <c r="B46" s="83" t="s">
        <v>25</v>
      </c>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5"/>
    </row>
    <row r="47" spans="2:46">
      <c r="B47" s="86"/>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87"/>
    </row>
    <row r="48" spans="2:46">
      <c r="B48" s="86"/>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87"/>
    </row>
    <row r="49" spans="2:46">
      <c r="B49" s="88"/>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90"/>
    </row>
    <row r="50" spans="2:46" ht="15.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row>
    <row r="51" spans="2:46">
      <c r="B51" s="74" t="s">
        <v>33</v>
      </c>
      <c r="C51" s="74"/>
      <c r="D51" s="74"/>
      <c r="E51" s="74"/>
      <c r="F51" s="74"/>
      <c r="G51" s="74"/>
      <c r="H51" s="74"/>
      <c r="I51" s="74"/>
      <c r="J51" s="74"/>
      <c r="K51" s="74"/>
      <c r="L51" s="74"/>
      <c r="M51" s="74"/>
      <c r="N51" s="74"/>
      <c r="O51" s="74"/>
      <c r="P51" s="9"/>
      <c r="Q51" s="74" t="s">
        <v>34</v>
      </c>
      <c r="R51" s="74"/>
      <c r="S51" s="74"/>
      <c r="T51" s="74"/>
      <c r="U51" s="74"/>
      <c r="V51" s="74"/>
      <c r="W51" s="74"/>
      <c r="X51" s="74"/>
      <c r="Y51" s="74"/>
      <c r="Z51" s="74"/>
      <c r="AA51" s="74"/>
      <c r="AB51" s="74"/>
      <c r="AC51" s="74"/>
      <c r="AD51" s="74"/>
      <c r="AE51" s="74"/>
      <c r="AF51" s="9"/>
      <c r="AG51" s="74" t="s">
        <v>35</v>
      </c>
      <c r="AH51" s="74"/>
      <c r="AI51" s="74"/>
      <c r="AJ51" s="74"/>
      <c r="AK51" s="74"/>
      <c r="AL51" s="74"/>
      <c r="AM51" s="74"/>
      <c r="AN51" s="74"/>
      <c r="AO51" s="74"/>
      <c r="AP51" s="74"/>
      <c r="AQ51" s="74"/>
      <c r="AR51" s="74"/>
      <c r="AS51" s="74"/>
      <c r="AT51" s="74"/>
    </row>
    <row r="52" spans="2:46">
      <c r="B52" s="76"/>
      <c r="C52" s="76"/>
      <c r="D52" s="76"/>
      <c r="E52" s="76"/>
      <c r="F52" s="76"/>
      <c r="G52" s="76"/>
      <c r="H52" s="76"/>
      <c r="I52" s="76"/>
      <c r="J52" s="76"/>
      <c r="K52" s="76"/>
      <c r="L52" s="76"/>
      <c r="M52" s="76"/>
      <c r="N52" s="76"/>
      <c r="O52" s="76"/>
      <c r="P52" s="9"/>
      <c r="Q52" s="77"/>
      <c r="R52" s="77"/>
      <c r="S52" s="77"/>
      <c r="T52" s="77"/>
      <c r="U52" s="77"/>
      <c r="V52" s="77"/>
      <c r="W52" s="77"/>
      <c r="X52" s="77"/>
      <c r="Y52" s="77"/>
      <c r="Z52" s="77"/>
      <c r="AA52" s="77"/>
      <c r="AB52" s="77"/>
      <c r="AC52" s="77"/>
      <c r="AD52" s="77"/>
      <c r="AE52" s="77"/>
      <c r="AF52" s="9"/>
      <c r="AG52" s="76"/>
      <c r="AH52" s="76"/>
      <c r="AI52" s="76"/>
      <c r="AJ52" s="76"/>
      <c r="AK52" s="76"/>
      <c r="AL52" s="76"/>
      <c r="AM52" s="76"/>
      <c r="AN52" s="76"/>
      <c r="AO52" s="76"/>
      <c r="AP52" s="76"/>
      <c r="AQ52" s="76"/>
      <c r="AR52" s="76"/>
      <c r="AS52" s="76"/>
      <c r="AT52" s="76"/>
    </row>
    <row r="53" spans="2:46">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row>
    <row r="54" spans="2:46">
      <c r="B54" s="74" t="s">
        <v>36</v>
      </c>
      <c r="C54" s="74"/>
      <c r="D54" s="74"/>
      <c r="E54" s="74"/>
      <c r="F54" s="74"/>
      <c r="G54" s="74"/>
      <c r="H54" s="74"/>
      <c r="I54" s="74"/>
      <c r="J54" s="74"/>
      <c r="K54" s="74"/>
      <c r="L54" s="74"/>
      <c r="M54" s="74"/>
      <c r="N54" s="74"/>
      <c r="O54" s="74"/>
      <c r="P54" s="9"/>
      <c r="Q54" s="74" t="s">
        <v>37</v>
      </c>
      <c r="R54" s="74"/>
      <c r="S54" s="74"/>
      <c r="T54" s="74"/>
      <c r="U54" s="74"/>
      <c r="V54" s="74"/>
      <c r="W54" s="74"/>
      <c r="X54" s="74"/>
      <c r="Y54" s="74"/>
      <c r="Z54" s="74"/>
      <c r="AA54" s="74"/>
      <c r="AB54" s="74"/>
      <c r="AC54" s="74"/>
      <c r="AD54" s="74"/>
      <c r="AE54" s="74"/>
      <c r="AF54" s="9"/>
      <c r="AG54" s="74" t="s">
        <v>38</v>
      </c>
      <c r="AH54" s="74"/>
      <c r="AI54" s="74"/>
      <c r="AJ54" s="74"/>
      <c r="AK54" s="74"/>
      <c r="AL54" s="74"/>
      <c r="AM54" s="74"/>
      <c r="AN54" s="74"/>
      <c r="AO54" s="74"/>
      <c r="AP54" s="74"/>
      <c r="AQ54" s="74"/>
      <c r="AR54" s="74"/>
      <c r="AS54" s="74"/>
      <c r="AT54" s="74"/>
    </row>
    <row r="55" spans="2:46">
      <c r="B55" s="76"/>
      <c r="C55" s="76"/>
      <c r="D55" s="76"/>
      <c r="E55" s="76"/>
      <c r="F55" s="76"/>
      <c r="G55" s="76"/>
      <c r="H55" s="76"/>
      <c r="I55" s="76"/>
      <c r="J55" s="76"/>
      <c r="K55" s="76"/>
      <c r="L55" s="76"/>
      <c r="M55" s="76"/>
      <c r="N55" s="76"/>
      <c r="O55" s="76"/>
      <c r="P55" s="9"/>
      <c r="Q55" s="77"/>
      <c r="R55" s="77"/>
      <c r="S55" s="77"/>
      <c r="T55" s="77"/>
      <c r="U55" s="77"/>
      <c r="V55" s="77"/>
      <c r="W55" s="77"/>
      <c r="X55" s="77"/>
      <c r="Y55" s="77"/>
      <c r="Z55" s="77"/>
      <c r="AA55" s="77"/>
      <c r="AB55" s="77"/>
      <c r="AC55" s="77"/>
      <c r="AD55" s="77"/>
      <c r="AE55" s="77"/>
      <c r="AF55" s="9"/>
      <c r="AG55" s="77"/>
      <c r="AH55" s="77"/>
      <c r="AI55" s="77"/>
      <c r="AJ55" s="77"/>
      <c r="AK55" s="77"/>
      <c r="AL55" s="77"/>
      <c r="AM55" s="77"/>
      <c r="AN55" s="77"/>
      <c r="AO55" s="77"/>
      <c r="AP55" s="77"/>
      <c r="AQ55" s="77"/>
      <c r="AR55" s="77"/>
      <c r="AS55" s="77"/>
      <c r="AT55" s="77"/>
    </row>
    <row r="56" spans="2:46">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row>
    <row r="57" spans="2:46">
      <c r="B57" s="78" t="s">
        <v>39</v>
      </c>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9"/>
      <c r="AG57" s="9"/>
      <c r="AH57" s="9"/>
      <c r="AI57" s="9"/>
      <c r="AJ57" s="9"/>
      <c r="AK57" s="9"/>
      <c r="AL57" s="9"/>
      <c r="AM57" s="9"/>
      <c r="AN57" s="9"/>
      <c r="AO57" s="9"/>
      <c r="AP57" s="9"/>
      <c r="AQ57" s="9"/>
      <c r="AR57" s="9"/>
      <c r="AS57" s="9"/>
      <c r="AT57" s="9"/>
    </row>
    <row r="58" spans="2:4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9"/>
      <c r="AG58" s="9"/>
      <c r="AH58" s="9"/>
      <c r="AI58" s="9"/>
      <c r="AJ58" s="9"/>
      <c r="AK58" s="9"/>
      <c r="AL58" s="9"/>
      <c r="AM58" s="9"/>
      <c r="AN58" s="9"/>
      <c r="AO58" s="9"/>
      <c r="AP58" s="9"/>
      <c r="AQ58" s="9"/>
      <c r="AR58" s="9"/>
      <c r="AS58" s="9"/>
      <c r="AT58" s="9"/>
    </row>
    <row r="59" spans="2:46">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row>
    <row r="60" spans="2:46" ht="14.45" customHeight="1">
      <c r="B60" s="75" t="s">
        <v>40</v>
      </c>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row>
    <row r="61" spans="2:46">
      <c r="B61" s="79" t="s">
        <v>25</v>
      </c>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row>
    <row r="62" spans="2:46">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row>
    <row r="63" spans="2:46">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row>
    <row r="64" spans="2:46">
      <c r="B64" s="75" t="s">
        <v>41</v>
      </c>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row>
    <row r="65" spans="2:48">
      <c r="B65" s="79" t="s">
        <v>25</v>
      </c>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row>
    <row r="66" spans="2:48">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row>
    <row r="67" spans="2:4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row>
    <row r="68" spans="2:48">
      <c r="B68" s="75" t="s">
        <v>42</v>
      </c>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row>
    <row r="69" spans="2:48">
      <c r="B69" s="111"/>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3"/>
    </row>
    <row r="70" spans="2:48">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row>
    <row r="71" spans="2:48">
      <c r="B71" s="72" t="s">
        <v>43</v>
      </c>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row>
    <row r="72" spans="2:48">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row>
    <row r="73" spans="2:48" s="9" customFormat="1"/>
    <row r="74" spans="2:48" s="9" customFormat="1" ht="15.6" customHeight="1">
      <c r="B74" s="91" t="s">
        <v>44</v>
      </c>
      <c r="C74" s="91"/>
      <c r="D74" s="91"/>
      <c r="E74" s="91"/>
      <c r="F74" s="91"/>
      <c r="G74" s="91"/>
      <c r="H74" s="91"/>
      <c r="I74" s="91"/>
      <c r="J74" s="91"/>
      <c r="K74" s="91"/>
      <c r="L74" s="91"/>
      <c r="M74" s="91"/>
      <c r="N74" s="91"/>
      <c r="O74" s="91"/>
      <c r="P74" s="91"/>
      <c r="Q74" s="91"/>
      <c r="R74" s="91"/>
      <c r="S74" s="110" t="str">
        <f>IF(AV74=0,"",IF(AV74&lt;=10,"IRRELEVANTE",IF(AV74&lt;=17,"BAIXO",IF(AV74&lt;=23.4,"MÉDIO",IF(AV74&lt;=33,"ALTO","CRÍTICO")))))</f>
        <v/>
      </c>
      <c r="T74" s="110"/>
      <c r="U74" s="110"/>
      <c r="AV74" s="9">
        <f>IFERROR(VLOOKUP(B52,'Lista suspensa'!A6:B11,2,FALSE),0)+
IFERROR(VLOOKUP(Q52,'Lista suspensa'!A13:B17,2,FALSE),0)+
IFERROR(VLOOKUP(AG52,'Lista suspensa'!A19:B22,2,FALSE),0)+
IFERROR(VLOOKUP(B55,'Lista suspensa'!A24:B28,2,FALSE),0)+
IFERROR(VLOOKUP(Q55,'Lista suspensa'!A30:B34,2,FALSE),0)</f>
        <v>0</v>
      </c>
    </row>
    <row r="75" spans="2:48" s="9" customFormat="1">
      <c r="B75" s="91"/>
      <c r="C75" s="91"/>
      <c r="D75" s="91"/>
      <c r="E75" s="91"/>
      <c r="F75" s="91"/>
      <c r="G75" s="91"/>
      <c r="H75" s="91"/>
      <c r="I75" s="91"/>
      <c r="J75" s="91"/>
      <c r="K75" s="91"/>
      <c r="L75" s="91"/>
      <c r="M75" s="91"/>
      <c r="N75" s="91"/>
      <c r="O75" s="91"/>
      <c r="P75" s="91"/>
      <c r="Q75" s="91"/>
      <c r="R75" s="91"/>
      <c r="S75" s="110"/>
      <c r="T75" s="110"/>
      <c r="U75" s="110"/>
    </row>
    <row r="76" spans="2:48" s="9" customFormat="1"/>
    <row r="77" spans="2:48" s="9" customFormat="1">
      <c r="B77" s="78" t="s">
        <v>45</v>
      </c>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row>
    <row r="78" spans="2:48" s="9" customFormat="1">
      <c r="B78" s="109" t="str">
        <f>IF(B29="Sim",
"Responda ao questionário detalhado disponibilizado abaixo e preencha as abas Inteligência Artificial e Segurança da Informação",
IF(AND(OR(S74="IRRELEVANTE",S74="BAIXO",S74="MÉDIO"),B69="Não"),
"Preencha apenas a aba Segurança da Informação",
IF(AND(OR(S74="IRRELEVANTE",S74="BAIXO",S74="MÉDIO"),B69="Sim"),
"Preencha as abas Inteligência Artificial e Segurança da Informação",
IF(AND(OR(S74="ALTO",S74="CRÍTICO"),B69="Sim"),
"Responda ao questionário detalhado disponibilizado abaixo e preencha as abas Inteligência Artificial e Segurança da Informação",
IF(AND(OR(S74="ALTO",S74="CRÍTICO"),B69="Não"),
"Responda ao questionário detalhado disponibilizado abaixo e preencha a aba Segurança da Informação",
"")))))</f>
        <v/>
      </c>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c r="AP78" s="109"/>
      <c r="AQ78" s="109"/>
      <c r="AR78" s="109"/>
      <c r="AS78" s="109"/>
      <c r="AT78" s="109"/>
    </row>
    <row r="79" spans="2:48" s="9" customFormat="1">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09"/>
      <c r="AJ79" s="109"/>
      <c r="AK79" s="109"/>
      <c r="AL79" s="109"/>
      <c r="AM79" s="109"/>
      <c r="AN79" s="109"/>
      <c r="AO79" s="109"/>
      <c r="AP79" s="109"/>
      <c r="AQ79" s="109"/>
      <c r="AR79" s="109"/>
      <c r="AS79" s="109"/>
      <c r="AT79" s="109"/>
    </row>
    <row r="80" spans="2:48" s="9" customFormat="1">
      <c r="B80" s="18" t="s">
        <v>46</v>
      </c>
      <c r="C80" s="18"/>
      <c r="D80" s="18"/>
      <c r="E80" s="18"/>
      <c r="F80" s="18"/>
      <c r="G80" s="18"/>
      <c r="H80" s="18"/>
      <c r="I80" s="18"/>
      <c r="J80" s="18"/>
      <c r="K80" s="18"/>
      <c r="L80" s="18"/>
      <c r="M80" s="18"/>
      <c r="N80" s="18"/>
    </row>
    <row r="81" s="9" customFormat="1"/>
    <row r="82" s="9" customFormat="1"/>
    <row r="83" s="9" customFormat="1"/>
    <row r="84" s="9" customFormat="1"/>
    <row r="85" s="9" customFormat="1"/>
    <row r="86" s="9" customFormat="1"/>
    <row r="87" s="9" customFormat="1"/>
    <row r="88" s="9" customFormat="1"/>
    <row r="89" s="9" customFormat="1"/>
    <row r="90" s="9" customFormat="1"/>
    <row r="91" s="9" customFormat="1"/>
    <row r="92" s="9" customFormat="1"/>
    <row r="93" s="9" customFormat="1"/>
    <row r="94" s="9" customFormat="1"/>
    <row r="95" s="9" customFormat="1"/>
    <row r="96" s="9" customFormat="1"/>
    <row r="97" s="9" customFormat="1"/>
    <row r="98" s="9" customFormat="1"/>
    <row r="99" s="9" customFormat="1"/>
    <row r="100" s="9" customFormat="1"/>
    <row r="101" s="9" customFormat="1"/>
    <row r="102" s="9" customFormat="1"/>
    <row r="103" s="9" customFormat="1"/>
    <row r="104" s="9" customFormat="1"/>
    <row r="105" s="9" customFormat="1"/>
    <row r="106" s="9" customFormat="1"/>
    <row r="107" s="9" customFormat="1"/>
    <row r="108" s="9" customFormat="1"/>
    <row r="109" s="9" customFormat="1"/>
    <row r="110" s="9" customFormat="1"/>
    <row r="111" s="9" customFormat="1"/>
    <row r="112" s="9" customFormat="1"/>
    <row r="113" s="9" customFormat="1"/>
    <row r="114" s="9" customFormat="1"/>
    <row r="115" s="9" customFormat="1"/>
    <row r="116" s="9" customFormat="1"/>
    <row r="117" s="9" customFormat="1"/>
    <row r="118" s="9" customFormat="1"/>
    <row r="119" s="9" customFormat="1"/>
    <row r="120" s="9" customFormat="1"/>
    <row r="121" s="9" customFormat="1"/>
    <row r="122" s="9" customFormat="1"/>
  </sheetData>
  <mergeCells count="51">
    <mergeCell ref="B30:AT30"/>
    <mergeCell ref="B78:AT79"/>
    <mergeCell ref="B77:AT77"/>
    <mergeCell ref="B71:AT72"/>
    <mergeCell ref="B74:R75"/>
    <mergeCell ref="S74:U75"/>
    <mergeCell ref="B69:AT69"/>
    <mergeCell ref="AG54:AT54"/>
    <mergeCell ref="AG55:AT55"/>
    <mergeCell ref="B39:AT39"/>
    <mergeCell ref="B37:G37"/>
    <mergeCell ref="H37:AT37"/>
    <mergeCell ref="B43:G43"/>
    <mergeCell ref="Q54:AE54"/>
    <mergeCell ref="B52:O52"/>
    <mergeCell ref="Q52:AE52"/>
    <mergeCell ref="AG52:AT52"/>
    <mergeCell ref="B51:O51"/>
    <mergeCell ref="AG51:AT51"/>
    <mergeCell ref="Q51:AE51"/>
    <mergeCell ref="B54:O54"/>
    <mergeCell ref="B45:AT45"/>
    <mergeCell ref="B46:AT49"/>
    <mergeCell ref="B11:AT11"/>
    <mergeCell ref="B15:AT16"/>
    <mergeCell ref="B17:AT18"/>
    <mergeCell ref="B19:AT20"/>
    <mergeCell ref="H43:AT43"/>
    <mergeCell ref="B40:AT42"/>
    <mergeCell ref="B12:AT12"/>
    <mergeCell ref="B13:AT13"/>
    <mergeCell ref="B32:AT32"/>
    <mergeCell ref="B33:AT36"/>
    <mergeCell ref="B21:AT24"/>
    <mergeCell ref="B26:AT27"/>
    <mergeCell ref="B28:AT28"/>
    <mergeCell ref="B29:AT29"/>
    <mergeCell ref="B68:AT68"/>
    <mergeCell ref="B55:O55"/>
    <mergeCell ref="Q55:AE55"/>
    <mergeCell ref="B57:AE57"/>
    <mergeCell ref="B58:AE58"/>
    <mergeCell ref="B64:AT64"/>
    <mergeCell ref="B65:AT66"/>
    <mergeCell ref="B60:AT60"/>
    <mergeCell ref="B61:AT62"/>
    <mergeCell ref="B2:D3"/>
    <mergeCell ref="E2:AR2"/>
    <mergeCell ref="E3:AR3"/>
    <mergeCell ref="B7:AT8"/>
    <mergeCell ref="B10:AT10"/>
  </mergeCells>
  <conditionalFormatting sqref="S74:U75">
    <cfRule type="cellIs" dxfId="4" priority="1" operator="equal">
      <formula>"CRÍTICO"</formula>
    </cfRule>
    <cfRule type="cellIs" dxfId="3" priority="2" operator="equal">
      <formula>"ALTO"</formula>
    </cfRule>
    <cfRule type="cellIs" dxfId="2" priority="3" operator="equal">
      <formula>"MÉDIO"</formula>
    </cfRule>
    <cfRule type="cellIs" dxfId="1" priority="4" operator="equal">
      <formula>"BAIXO"</formula>
    </cfRule>
    <cfRule type="cellIs" dxfId="0" priority="5" operator="equal">
      <formula>"IRRELEVANTE"</formula>
    </cfRule>
  </conditionalFormatting>
  <hyperlinks>
    <hyperlink ref="B80:L80" r:id="rId1" display="CLIQUE AQUI PARA RESPONDER AO QUESTIONÁRIO DETALHADO" xr:uid="{E225FFD8-F065-419F-9443-6C8E84F53423}"/>
  </hyperlinks>
  <pageMargins left="0.511811024" right="0.511811024" top="0.78740157499999996" bottom="0.78740157499999996" header="0.31496062000000002" footer="0.31496062000000002"/>
  <drawing r:id="rId2"/>
  <legacyDrawing r:id="rId3"/>
  <mc:AlternateContent xmlns:mc="http://schemas.openxmlformats.org/markup-compatibility/2006">
    <mc:Choice Requires="x14">
      <controls>
        <mc:AlternateContent xmlns:mc="http://schemas.openxmlformats.org/markup-compatibility/2006">
          <mc:Choice Requires="x14">
            <control shapeId="2071" r:id="rId4" name="Check Box 23">
              <controlPr defaultSize="0" autoFill="0" autoLine="0" autoPict="0">
                <anchor moveWithCells="1">
                  <from>
                    <xdr:col>1</xdr:col>
                    <xdr:colOff>38100</xdr:colOff>
                    <xdr:row>32</xdr:row>
                    <xdr:rowOff>50800</xdr:rowOff>
                  </from>
                  <to>
                    <xdr:col>4</xdr:col>
                    <xdr:colOff>88900</xdr:colOff>
                    <xdr:row>33</xdr:row>
                    <xdr:rowOff>57150</xdr:rowOff>
                  </to>
                </anchor>
              </controlPr>
            </control>
          </mc:Choice>
        </mc:AlternateContent>
        <mc:AlternateContent xmlns:mc="http://schemas.openxmlformats.org/markup-compatibility/2006">
          <mc:Choice Requires="x14">
            <control shapeId="2072" r:id="rId5" name="Check Box 24">
              <controlPr defaultSize="0" autoFill="0" autoLine="0" autoPict="0">
                <anchor moveWithCells="1">
                  <from>
                    <xdr:col>1</xdr:col>
                    <xdr:colOff>38100</xdr:colOff>
                    <xdr:row>33</xdr:row>
                    <xdr:rowOff>107950</xdr:rowOff>
                  </from>
                  <to>
                    <xdr:col>4</xdr:col>
                    <xdr:colOff>88900</xdr:colOff>
                    <xdr:row>34</xdr:row>
                    <xdr:rowOff>114300</xdr:rowOff>
                  </to>
                </anchor>
              </controlPr>
            </control>
          </mc:Choice>
        </mc:AlternateContent>
        <mc:AlternateContent xmlns:mc="http://schemas.openxmlformats.org/markup-compatibility/2006">
          <mc:Choice Requires="x14">
            <control shapeId="2073" r:id="rId6" name="Check Box 25">
              <controlPr defaultSize="0" autoFill="0" autoLine="0" autoPict="0">
                <anchor moveWithCells="1">
                  <from>
                    <xdr:col>2</xdr:col>
                    <xdr:colOff>342900</xdr:colOff>
                    <xdr:row>32</xdr:row>
                    <xdr:rowOff>50800</xdr:rowOff>
                  </from>
                  <to>
                    <xdr:col>6</xdr:col>
                    <xdr:colOff>19050</xdr:colOff>
                    <xdr:row>33</xdr:row>
                    <xdr:rowOff>57150</xdr:rowOff>
                  </to>
                </anchor>
              </controlPr>
            </control>
          </mc:Choice>
        </mc:AlternateContent>
        <mc:AlternateContent xmlns:mc="http://schemas.openxmlformats.org/markup-compatibility/2006">
          <mc:Choice Requires="x14">
            <control shapeId="2074" r:id="rId7" name="Check Box 26">
              <controlPr defaultSize="0" autoFill="0" autoLine="0" autoPict="0">
                <anchor moveWithCells="1">
                  <from>
                    <xdr:col>2</xdr:col>
                    <xdr:colOff>342900</xdr:colOff>
                    <xdr:row>33</xdr:row>
                    <xdr:rowOff>101600</xdr:rowOff>
                  </from>
                  <to>
                    <xdr:col>6</xdr:col>
                    <xdr:colOff>19050</xdr:colOff>
                    <xdr:row>34</xdr:row>
                    <xdr:rowOff>114300</xdr:rowOff>
                  </to>
                </anchor>
              </controlPr>
            </control>
          </mc:Choice>
        </mc:AlternateContent>
        <mc:AlternateContent xmlns:mc="http://schemas.openxmlformats.org/markup-compatibility/2006">
          <mc:Choice Requires="x14">
            <control shapeId="2075" r:id="rId8" name="Check Box 27">
              <controlPr defaultSize="0" autoFill="0" autoLine="0" autoPict="0">
                <anchor moveWithCells="1">
                  <from>
                    <xdr:col>6</xdr:col>
                    <xdr:colOff>69850</xdr:colOff>
                    <xdr:row>32</xdr:row>
                    <xdr:rowOff>50800</xdr:rowOff>
                  </from>
                  <to>
                    <xdr:col>9</xdr:col>
                    <xdr:colOff>114300</xdr:colOff>
                    <xdr:row>33</xdr:row>
                    <xdr:rowOff>57150</xdr:rowOff>
                  </to>
                </anchor>
              </controlPr>
            </control>
          </mc:Choice>
        </mc:AlternateContent>
        <mc:AlternateContent xmlns:mc="http://schemas.openxmlformats.org/markup-compatibility/2006">
          <mc:Choice Requires="x14">
            <control shapeId="2076" r:id="rId9" name="Check Box 28">
              <controlPr defaultSize="0" autoFill="0" autoLine="0" autoPict="0">
                <anchor moveWithCells="1">
                  <from>
                    <xdr:col>6</xdr:col>
                    <xdr:colOff>69850</xdr:colOff>
                    <xdr:row>33</xdr:row>
                    <xdr:rowOff>101600</xdr:rowOff>
                  </from>
                  <to>
                    <xdr:col>9</xdr:col>
                    <xdr:colOff>114300</xdr:colOff>
                    <xdr:row>34</xdr:row>
                    <xdr:rowOff>114300</xdr:rowOff>
                  </to>
                </anchor>
              </controlPr>
            </control>
          </mc:Choice>
        </mc:AlternateContent>
        <mc:AlternateContent xmlns:mc="http://schemas.openxmlformats.org/markup-compatibility/2006">
          <mc:Choice Requires="x14">
            <control shapeId="2077" r:id="rId10" name="Check Box 29">
              <controlPr defaultSize="0" autoFill="0" autoLine="0" autoPict="0">
                <anchor moveWithCells="1">
                  <from>
                    <xdr:col>8</xdr:col>
                    <xdr:colOff>323850</xdr:colOff>
                    <xdr:row>32</xdr:row>
                    <xdr:rowOff>44450</xdr:rowOff>
                  </from>
                  <to>
                    <xdr:col>11</xdr:col>
                    <xdr:colOff>349250</xdr:colOff>
                    <xdr:row>33</xdr:row>
                    <xdr:rowOff>57150</xdr:rowOff>
                  </to>
                </anchor>
              </controlPr>
            </control>
          </mc:Choice>
        </mc:AlternateContent>
        <mc:AlternateContent xmlns:mc="http://schemas.openxmlformats.org/markup-compatibility/2006">
          <mc:Choice Requires="x14">
            <control shapeId="2080" r:id="rId11" name="Check Box 32">
              <controlPr defaultSize="0" autoFill="0" autoLine="0" autoPict="0">
                <anchor moveWithCells="1">
                  <from>
                    <xdr:col>8</xdr:col>
                    <xdr:colOff>323850</xdr:colOff>
                    <xdr:row>33</xdr:row>
                    <xdr:rowOff>101600</xdr:rowOff>
                  </from>
                  <to>
                    <xdr:col>12</xdr:col>
                    <xdr:colOff>0</xdr:colOff>
                    <xdr:row>34</xdr:row>
                    <xdr:rowOff>114300</xdr:rowOff>
                  </to>
                </anchor>
              </controlPr>
            </control>
          </mc:Choice>
        </mc:AlternateContent>
        <mc:AlternateContent xmlns:mc="http://schemas.openxmlformats.org/markup-compatibility/2006">
          <mc:Choice Requires="x14">
            <control shapeId="2081" r:id="rId12" name="Check Box 33">
              <controlPr defaultSize="0" autoFill="0" autoLine="0" autoPict="0">
                <anchor moveWithCells="1">
                  <from>
                    <xdr:col>12</xdr:col>
                    <xdr:colOff>101600</xdr:colOff>
                    <xdr:row>32</xdr:row>
                    <xdr:rowOff>57150</xdr:rowOff>
                  </from>
                  <to>
                    <xdr:col>15</xdr:col>
                    <xdr:colOff>152400</xdr:colOff>
                    <xdr:row>33</xdr:row>
                    <xdr:rowOff>63500</xdr:rowOff>
                  </to>
                </anchor>
              </controlPr>
            </control>
          </mc:Choice>
        </mc:AlternateContent>
        <mc:AlternateContent xmlns:mc="http://schemas.openxmlformats.org/markup-compatibility/2006">
          <mc:Choice Requires="x14">
            <control shapeId="2082" r:id="rId13" name="Check Box 34">
              <controlPr defaultSize="0" autoFill="0" autoLine="0" autoPict="0">
                <anchor moveWithCells="1">
                  <from>
                    <xdr:col>12</xdr:col>
                    <xdr:colOff>107950</xdr:colOff>
                    <xdr:row>33</xdr:row>
                    <xdr:rowOff>114300</xdr:rowOff>
                  </from>
                  <to>
                    <xdr:col>15</xdr:col>
                    <xdr:colOff>152400</xdr:colOff>
                    <xdr:row>34</xdr:row>
                    <xdr:rowOff>120650</xdr:rowOff>
                  </to>
                </anchor>
              </controlPr>
            </control>
          </mc:Choice>
        </mc:AlternateContent>
        <mc:AlternateContent xmlns:mc="http://schemas.openxmlformats.org/markup-compatibility/2006">
          <mc:Choice Requires="x14">
            <control shapeId="2083" r:id="rId14" name="Check Box 35">
              <controlPr defaultSize="0" autoFill="0" autoLine="0" autoPict="0">
                <anchor moveWithCells="1">
                  <from>
                    <xdr:col>16</xdr:col>
                    <xdr:colOff>25400</xdr:colOff>
                    <xdr:row>32</xdr:row>
                    <xdr:rowOff>69850</xdr:rowOff>
                  </from>
                  <to>
                    <xdr:col>19</xdr:col>
                    <xdr:colOff>76200</xdr:colOff>
                    <xdr:row>33</xdr:row>
                    <xdr:rowOff>76200</xdr:rowOff>
                  </to>
                </anchor>
              </controlPr>
            </control>
          </mc:Choice>
        </mc:AlternateContent>
        <mc:AlternateContent xmlns:mc="http://schemas.openxmlformats.org/markup-compatibility/2006">
          <mc:Choice Requires="x14">
            <control shapeId="2084" r:id="rId15" name="Check Box 36">
              <controlPr defaultSize="0" autoFill="0" autoLine="0" autoPict="0">
                <anchor moveWithCells="1">
                  <from>
                    <xdr:col>16</xdr:col>
                    <xdr:colOff>31750</xdr:colOff>
                    <xdr:row>33</xdr:row>
                    <xdr:rowOff>120650</xdr:rowOff>
                  </from>
                  <to>
                    <xdr:col>19</xdr:col>
                    <xdr:colOff>76200</xdr:colOff>
                    <xdr:row>34</xdr:row>
                    <xdr:rowOff>133350</xdr:rowOff>
                  </to>
                </anchor>
              </controlPr>
            </control>
          </mc:Choice>
        </mc:AlternateContent>
        <mc:AlternateContent xmlns:mc="http://schemas.openxmlformats.org/markup-compatibility/2006">
          <mc:Choice Requires="x14">
            <control shapeId="2085" r:id="rId16" name="Check Box 37">
              <controlPr defaultSize="0" autoFill="0" autoLine="0" autoPict="0">
                <anchor moveWithCells="1">
                  <from>
                    <xdr:col>19</xdr:col>
                    <xdr:colOff>196850</xdr:colOff>
                    <xdr:row>32</xdr:row>
                    <xdr:rowOff>63500</xdr:rowOff>
                  </from>
                  <to>
                    <xdr:col>22</xdr:col>
                    <xdr:colOff>247650</xdr:colOff>
                    <xdr:row>33</xdr:row>
                    <xdr:rowOff>76200</xdr:rowOff>
                  </to>
                </anchor>
              </controlPr>
            </control>
          </mc:Choice>
        </mc:AlternateContent>
        <mc:AlternateContent xmlns:mc="http://schemas.openxmlformats.org/markup-compatibility/2006">
          <mc:Choice Requires="x14">
            <control shapeId="2086" r:id="rId17" name="Check Box 38">
              <controlPr defaultSize="0" autoFill="0" autoLine="0" autoPict="0">
                <anchor moveWithCells="1">
                  <from>
                    <xdr:col>19</xdr:col>
                    <xdr:colOff>203200</xdr:colOff>
                    <xdr:row>33</xdr:row>
                    <xdr:rowOff>120650</xdr:rowOff>
                  </from>
                  <to>
                    <xdr:col>22</xdr:col>
                    <xdr:colOff>247650</xdr:colOff>
                    <xdr:row>34</xdr:row>
                    <xdr:rowOff>133350</xdr:rowOff>
                  </to>
                </anchor>
              </controlPr>
            </control>
          </mc:Choice>
        </mc:AlternateContent>
        <mc:AlternateContent xmlns:mc="http://schemas.openxmlformats.org/markup-compatibility/2006">
          <mc:Choice Requires="x14">
            <control shapeId="2087" r:id="rId18" name="Check Box 39">
              <controlPr defaultSize="0" autoFill="0" autoLine="0" autoPict="0">
                <anchor moveWithCells="1">
                  <from>
                    <xdr:col>22</xdr:col>
                    <xdr:colOff>260350</xdr:colOff>
                    <xdr:row>32</xdr:row>
                    <xdr:rowOff>63500</xdr:rowOff>
                  </from>
                  <to>
                    <xdr:col>25</xdr:col>
                    <xdr:colOff>304800</xdr:colOff>
                    <xdr:row>33</xdr:row>
                    <xdr:rowOff>76200</xdr:rowOff>
                  </to>
                </anchor>
              </controlPr>
            </control>
          </mc:Choice>
        </mc:AlternateContent>
        <mc:AlternateContent xmlns:mc="http://schemas.openxmlformats.org/markup-compatibility/2006">
          <mc:Choice Requires="x14">
            <control shapeId="2088" r:id="rId19" name="Check Box 40">
              <controlPr defaultSize="0" autoFill="0" autoLine="0" autoPict="0">
                <anchor moveWithCells="1">
                  <from>
                    <xdr:col>22</xdr:col>
                    <xdr:colOff>254000</xdr:colOff>
                    <xdr:row>33</xdr:row>
                    <xdr:rowOff>120650</xdr:rowOff>
                  </from>
                  <to>
                    <xdr:col>25</xdr:col>
                    <xdr:colOff>304800</xdr:colOff>
                    <xdr:row>34</xdr:row>
                    <xdr:rowOff>133350</xdr:rowOff>
                  </to>
                </anchor>
              </controlPr>
            </control>
          </mc:Choice>
        </mc:AlternateContent>
        <mc:AlternateContent xmlns:mc="http://schemas.openxmlformats.org/markup-compatibility/2006">
          <mc:Choice Requires="x14">
            <control shapeId="2089" r:id="rId20" name="Check Box 41">
              <controlPr defaultSize="0" autoFill="0" autoLine="0" autoPict="0">
                <anchor moveWithCells="1">
                  <from>
                    <xdr:col>26</xdr:col>
                    <xdr:colOff>203200</xdr:colOff>
                    <xdr:row>32</xdr:row>
                    <xdr:rowOff>63500</xdr:rowOff>
                  </from>
                  <to>
                    <xdr:col>29</xdr:col>
                    <xdr:colOff>247650</xdr:colOff>
                    <xdr:row>33</xdr:row>
                    <xdr:rowOff>76200</xdr:rowOff>
                  </to>
                </anchor>
              </controlPr>
            </control>
          </mc:Choice>
        </mc:AlternateContent>
        <mc:AlternateContent xmlns:mc="http://schemas.openxmlformats.org/markup-compatibility/2006">
          <mc:Choice Requires="x14">
            <control shapeId="2090" r:id="rId21" name="Check Box 42">
              <controlPr defaultSize="0" autoFill="0" autoLine="0" autoPict="0">
                <anchor moveWithCells="1">
                  <from>
                    <xdr:col>26</xdr:col>
                    <xdr:colOff>196850</xdr:colOff>
                    <xdr:row>33</xdr:row>
                    <xdr:rowOff>127000</xdr:rowOff>
                  </from>
                  <to>
                    <xdr:col>29</xdr:col>
                    <xdr:colOff>247650</xdr:colOff>
                    <xdr:row>34</xdr:row>
                    <xdr:rowOff>133350</xdr:rowOff>
                  </to>
                </anchor>
              </controlPr>
            </control>
          </mc:Choice>
        </mc:AlternateContent>
        <mc:AlternateContent xmlns:mc="http://schemas.openxmlformats.org/markup-compatibility/2006">
          <mc:Choice Requires="x14">
            <control shapeId="2091" r:id="rId22" name="Check Box 43">
              <controlPr defaultSize="0" autoFill="0" autoLine="0" autoPict="0">
                <anchor moveWithCells="1">
                  <from>
                    <xdr:col>29</xdr:col>
                    <xdr:colOff>361950</xdr:colOff>
                    <xdr:row>32</xdr:row>
                    <xdr:rowOff>69850</xdr:rowOff>
                  </from>
                  <to>
                    <xdr:col>33</xdr:col>
                    <xdr:colOff>38100</xdr:colOff>
                    <xdr:row>33</xdr:row>
                    <xdr:rowOff>76200</xdr:rowOff>
                  </to>
                </anchor>
              </controlPr>
            </control>
          </mc:Choice>
        </mc:AlternateContent>
        <mc:AlternateContent xmlns:mc="http://schemas.openxmlformats.org/markup-compatibility/2006">
          <mc:Choice Requires="x14">
            <control shapeId="2092" r:id="rId23" name="Check Box 44">
              <controlPr defaultSize="0" autoFill="0" autoLine="0" autoPict="0">
                <anchor moveWithCells="1">
                  <from>
                    <xdr:col>29</xdr:col>
                    <xdr:colOff>361950</xdr:colOff>
                    <xdr:row>33</xdr:row>
                    <xdr:rowOff>127000</xdr:rowOff>
                  </from>
                  <to>
                    <xdr:col>33</xdr:col>
                    <xdr:colOff>38100</xdr:colOff>
                    <xdr:row>34</xdr:row>
                    <xdr:rowOff>133350</xdr:rowOff>
                  </to>
                </anchor>
              </controlPr>
            </control>
          </mc:Choice>
        </mc:AlternateContent>
        <mc:AlternateContent xmlns:mc="http://schemas.openxmlformats.org/markup-compatibility/2006">
          <mc:Choice Requires="x14">
            <control shapeId="2093" r:id="rId24" name="Check Box 45">
              <controlPr defaultSize="0" autoFill="0" autoLine="0" autoPict="0">
                <anchor moveWithCells="1">
                  <from>
                    <xdr:col>33</xdr:col>
                    <xdr:colOff>304800</xdr:colOff>
                    <xdr:row>32</xdr:row>
                    <xdr:rowOff>69850</xdr:rowOff>
                  </from>
                  <to>
                    <xdr:col>36</xdr:col>
                    <xdr:colOff>349250</xdr:colOff>
                    <xdr:row>33</xdr:row>
                    <xdr:rowOff>76200</xdr:rowOff>
                  </to>
                </anchor>
              </controlPr>
            </control>
          </mc:Choice>
        </mc:AlternateContent>
        <mc:AlternateContent xmlns:mc="http://schemas.openxmlformats.org/markup-compatibility/2006">
          <mc:Choice Requires="x14">
            <control shapeId="2094" r:id="rId25" name="Check Box 46">
              <controlPr defaultSize="0" autoFill="0" autoLine="0" autoPict="0">
                <anchor moveWithCells="1">
                  <from>
                    <xdr:col>33</xdr:col>
                    <xdr:colOff>311150</xdr:colOff>
                    <xdr:row>33</xdr:row>
                    <xdr:rowOff>101600</xdr:rowOff>
                  </from>
                  <to>
                    <xdr:col>43</xdr:col>
                    <xdr:colOff>323850</xdr:colOff>
                    <xdr:row>34</xdr:row>
                    <xdr:rowOff>133350</xdr:rowOff>
                  </to>
                </anchor>
              </controlPr>
            </control>
          </mc:Choice>
        </mc:AlternateContent>
        <mc:AlternateContent xmlns:mc="http://schemas.openxmlformats.org/markup-compatibility/2006">
          <mc:Choice Requires="x14">
            <control shapeId="2096" r:id="rId26" name="Check Box 48">
              <controlPr defaultSize="0" autoFill="0" autoLine="0" autoPict="0">
                <anchor moveWithCells="1">
                  <from>
                    <xdr:col>36</xdr:col>
                    <xdr:colOff>330200</xdr:colOff>
                    <xdr:row>32</xdr:row>
                    <xdr:rowOff>63500</xdr:rowOff>
                  </from>
                  <to>
                    <xdr:col>40</xdr:col>
                    <xdr:colOff>6350</xdr:colOff>
                    <xdr:row>33</xdr:row>
                    <xdr:rowOff>76200</xdr:rowOff>
                  </to>
                </anchor>
              </controlPr>
            </control>
          </mc:Choice>
        </mc:AlternateContent>
        <mc:AlternateContent xmlns:mc="http://schemas.openxmlformats.org/markup-compatibility/2006">
          <mc:Choice Requires="x14">
            <control shapeId="2097" r:id="rId27" name="Check Box 49">
              <controlPr defaultSize="0" autoFill="0" autoLine="0" autoPict="0">
                <anchor moveWithCells="1">
                  <from>
                    <xdr:col>40</xdr:col>
                    <xdr:colOff>57150</xdr:colOff>
                    <xdr:row>32</xdr:row>
                    <xdr:rowOff>57150</xdr:rowOff>
                  </from>
                  <to>
                    <xdr:col>44</xdr:col>
                    <xdr:colOff>50800</xdr:colOff>
                    <xdr:row>33</xdr:row>
                    <xdr:rowOff>76200</xdr:rowOff>
                  </to>
                </anchor>
              </controlPr>
            </control>
          </mc:Choice>
        </mc:AlternateContent>
        <mc:AlternateContent xmlns:mc="http://schemas.openxmlformats.org/markup-compatibility/2006">
          <mc:Choice Requires="x14">
            <control shapeId="2098" r:id="rId28" name="Check Box 50">
              <controlPr defaultSize="0" autoFill="0" autoLine="0" autoPict="0">
                <anchor moveWithCells="1">
                  <from>
                    <xdr:col>1</xdr:col>
                    <xdr:colOff>38100</xdr:colOff>
                    <xdr:row>34</xdr:row>
                    <xdr:rowOff>146050</xdr:rowOff>
                  </from>
                  <to>
                    <xdr:col>4</xdr:col>
                    <xdr:colOff>317500</xdr:colOff>
                    <xdr:row>36</xdr:row>
                    <xdr:rowOff>0</xdr:rowOff>
                  </to>
                </anchor>
              </controlPr>
            </control>
          </mc:Choice>
        </mc:AlternateContent>
        <mc:AlternateContent xmlns:mc="http://schemas.openxmlformats.org/markup-compatibility/2006">
          <mc:Choice Requires="x14">
            <control shapeId="2099" r:id="rId29" name="Check Box 51">
              <controlPr defaultSize="0" autoFill="0" autoLine="0" autoPict="0">
                <anchor moveWithCells="1">
                  <from>
                    <xdr:col>6</xdr:col>
                    <xdr:colOff>69850</xdr:colOff>
                    <xdr:row>34</xdr:row>
                    <xdr:rowOff>158750</xdr:rowOff>
                  </from>
                  <to>
                    <xdr:col>9</xdr:col>
                    <xdr:colOff>114300</xdr:colOff>
                    <xdr:row>35</xdr:row>
                    <xdr:rowOff>171450</xdr:rowOff>
                  </to>
                </anchor>
              </controlPr>
            </control>
          </mc:Choice>
        </mc:AlternateContent>
        <mc:AlternateContent xmlns:mc="http://schemas.openxmlformats.org/markup-compatibility/2006">
          <mc:Choice Requires="x14">
            <control shapeId="2100" r:id="rId30" name="Check Box 52">
              <controlPr defaultSize="0" autoFill="0" autoLine="0" autoPict="0">
                <anchor moveWithCells="1">
                  <from>
                    <xdr:col>8</xdr:col>
                    <xdr:colOff>323850</xdr:colOff>
                    <xdr:row>34</xdr:row>
                    <xdr:rowOff>171450</xdr:rowOff>
                  </from>
                  <to>
                    <xdr:col>12</xdr:col>
                    <xdr:colOff>0</xdr:colOff>
                    <xdr:row>35</xdr:row>
                    <xdr:rowOff>184150</xdr:rowOff>
                  </to>
                </anchor>
              </controlPr>
            </control>
          </mc:Choice>
        </mc:AlternateContent>
        <mc:AlternateContent xmlns:mc="http://schemas.openxmlformats.org/markup-compatibility/2006">
          <mc:Choice Requires="x14">
            <control shapeId="2101" r:id="rId31" name="Check Box 53">
              <controlPr defaultSize="0" autoFill="0" autoLine="0" autoPict="0">
                <anchor moveWithCells="1">
                  <from>
                    <xdr:col>1</xdr:col>
                    <xdr:colOff>50800</xdr:colOff>
                    <xdr:row>39</xdr:row>
                    <xdr:rowOff>19050</xdr:rowOff>
                  </from>
                  <to>
                    <xdr:col>6</xdr:col>
                    <xdr:colOff>19050</xdr:colOff>
                    <xdr:row>40</xdr:row>
                    <xdr:rowOff>69850</xdr:rowOff>
                  </to>
                </anchor>
              </controlPr>
            </control>
          </mc:Choice>
        </mc:AlternateContent>
        <mc:AlternateContent xmlns:mc="http://schemas.openxmlformats.org/markup-compatibility/2006">
          <mc:Choice Requires="x14">
            <control shapeId="2102" r:id="rId32" name="Check Box 54">
              <controlPr defaultSize="0" autoFill="0" autoLine="0" autoPict="0">
                <anchor moveWithCells="1">
                  <from>
                    <xdr:col>6</xdr:col>
                    <xdr:colOff>158750</xdr:colOff>
                    <xdr:row>39</xdr:row>
                    <xdr:rowOff>38100</xdr:rowOff>
                  </from>
                  <to>
                    <xdr:col>9</xdr:col>
                    <xdr:colOff>209550</xdr:colOff>
                    <xdr:row>40</xdr:row>
                    <xdr:rowOff>50800</xdr:rowOff>
                  </to>
                </anchor>
              </controlPr>
            </control>
          </mc:Choice>
        </mc:AlternateContent>
        <mc:AlternateContent xmlns:mc="http://schemas.openxmlformats.org/markup-compatibility/2006">
          <mc:Choice Requires="x14">
            <control shapeId="2103" r:id="rId33" name="Check Box 55">
              <controlPr defaultSize="0" autoFill="0" autoLine="0" autoPict="0">
                <anchor moveWithCells="1">
                  <from>
                    <xdr:col>1</xdr:col>
                    <xdr:colOff>50800</xdr:colOff>
                    <xdr:row>40</xdr:row>
                    <xdr:rowOff>63500</xdr:rowOff>
                  </from>
                  <to>
                    <xdr:col>6</xdr:col>
                    <xdr:colOff>57150</xdr:colOff>
                    <xdr:row>41</xdr:row>
                    <xdr:rowOff>63500</xdr:rowOff>
                  </to>
                </anchor>
              </controlPr>
            </control>
          </mc:Choice>
        </mc:AlternateContent>
        <mc:AlternateContent xmlns:mc="http://schemas.openxmlformats.org/markup-compatibility/2006">
          <mc:Choice Requires="x14">
            <control shapeId="2104" r:id="rId34" name="Check Box 56">
              <controlPr defaultSize="0" autoFill="0" autoLine="0" autoPict="0">
                <anchor moveWithCells="1">
                  <from>
                    <xdr:col>6</xdr:col>
                    <xdr:colOff>165100</xdr:colOff>
                    <xdr:row>40</xdr:row>
                    <xdr:rowOff>57150</xdr:rowOff>
                  </from>
                  <to>
                    <xdr:col>9</xdr:col>
                    <xdr:colOff>209550</xdr:colOff>
                    <xdr:row>41</xdr:row>
                    <xdr:rowOff>63500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8">
        <x14:dataValidation type="list" allowBlank="1" showInputMessage="1" showErrorMessage="1" xr:uid="{059CED32-D43C-4D1E-9FC9-4B557B3AB730}">
          <x14:formula1>
            <xm:f>'Lista suspensa'!$A$2:$A$4</xm:f>
          </x14:formula1>
          <xm:sqref>B17:AT18</xm:sqref>
        </x14:dataValidation>
        <x14:dataValidation type="list" allowBlank="1" showInputMessage="1" showErrorMessage="1" xr:uid="{3A0DDBA1-D459-4F8A-8D12-AB3663C69FCD}">
          <x14:formula1>
            <xm:f>'Lista suspensa'!$A$6:$A$11</xm:f>
          </x14:formula1>
          <xm:sqref>B52:O52</xm:sqref>
        </x14:dataValidation>
        <x14:dataValidation type="list" allowBlank="1" showInputMessage="1" showErrorMessage="1" xr:uid="{9EA9B3C9-6A89-4CDF-A730-18C9DF204675}">
          <x14:formula1>
            <xm:f>'Lista suspensa'!$A$13:$A$17</xm:f>
          </x14:formula1>
          <xm:sqref>Q52:AE52</xm:sqref>
        </x14:dataValidation>
        <x14:dataValidation type="list" allowBlank="1" showInputMessage="1" showErrorMessage="1" xr:uid="{F837EAC4-EF58-4FF9-BC9F-393FCABC31CC}">
          <x14:formula1>
            <xm:f>'Lista suspensa'!$A$19:$A$22</xm:f>
          </x14:formula1>
          <xm:sqref>AG52:AT52</xm:sqref>
        </x14:dataValidation>
        <x14:dataValidation type="list" allowBlank="1" showInputMessage="1" showErrorMessage="1" xr:uid="{1DB64CC3-430F-4FC9-AD48-A9085088DA6D}">
          <x14:formula1>
            <xm:f>'Lista suspensa'!$A$24:$A$28</xm:f>
          </x14:formula1>
          <xm:sqref>B55:O55</xm:sqref>
        </x14:dataValidation>
        <x14:dataValidation type="list" allowBlank="1" showInputMessage="1" showErrorMessage="1" xr:uid="{9ED437C4-B2BB-40C5-8CE8-CFFB5D544A3B}">
          <x14:formula1>
            <xm:f>'Lista suspensa'!$A$30:$A$34</xm:f>
          </x14:formula1>
          <xm:sqref>Q55:AE55</xm:sqref>
        </x14:dataValidation>
        <x14:dataValidation type="list" allowBlank="1" showInputMessage="1" showErrorMessage="1" xr:uid="{590E5DA0-D9A1-411A-9C7B-C1D839E5649F}">
          <x14:formula1>
            <xm:f>'Lista suspensa'!$A$36:$A$38</xm:f>
          </x14:formula1>
          <xm:sqref>B58:AE58</xm:sqref>
        </x14:dataValidation>
        <x14:dataValidation type="list" allowBlank="1" showInputMessage="1" showErrorMessage="1" xr:uid="{B6985F0A-B6AA-48D0-A48A-0CDD69BBB8C0}">
          <x14:formula1>
            <xm:f>'Lista suspensa'!$A$40:$A$41</xm:f>
          </x14:formula1>
          <xm:sqref>B11:AT11 B69:AT69 AG55:AT55 B29:AT29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14DE-AE49-463E-8589-2FD64D4B78F0}">
  <dimension ref="A2:B41"/>
  <sheetViews>
    <sheetView workbookViewId="0">
      <selection activeCell="A43" sqref="A43"/>
    </sheetView>
  </sheetViews>
  <sheetFormatPr defaultColWidth="8.7109375" defaultRowHeight="14.45"/>
  <cols>
    <col min="1" max="1" width="218.140625" style="9" customWidth="1"/>
    <col min="2" max="16384" width="8.7109375" style="9"/>
  </cols>
  <sheetData>
    <row r="2" spans="1:2">
      <c r="A2" s="10" t="s">
        <v>47</v>
      </c>
    </row>
    <row r="3" spans="1:2">
      <c r="A3" s="9" t="s">
        <v>48</v>
      </c>
    </row>
    <row r="4" spans="1:2">
      <c r="A4" s="9" t="s">
        <v>49</v>
      </c>
    </row>
    <row r="6" spans="1:2">
      <c r="A6" s="9" t="s">
        <v>50</v>
      </c>
      <c r="B6" s="9">
        <v>1</v>
      </c>
    </row>
    <row r="7" spans="1:2">
      <c r="A7" s="9" t="s">
        <v>51</v>
      </c>
      <c r="B7" s="9">
        <v>5</v>
      </c>
    </row>
    <row r="8" spans="1:2">
      <c r="A8" s="9" t="s">
        <v>52</v>
      </c>
      <c r="B8" s="9">
        <v>10</v>
      </c>
    </row>
    <row r="9" spans="1:2">
      <c r="A9" s="9" t="s">
        <v>53</v>
      </c>
      <c r="B9" s="9">
        <v>15</v>
      </c>
    </row>
    <row r="10" spans="1:2">
      <c r="A10" s="9" t="s">
        <v>54</v>
      </c>
      <c r="B10" s="9">
        <v>20</v>
      </c>
    </row>
    <row r="11" spans="1:2">
      <c r="A11" s="9" t="s">
        <v>55</v>
      </c>
      <c r="B11" s="9">
        <v>25</v>
      </c>
    </row>
    <row r="13" spans="1:2">
      <c r="A13" s="9" t="s">
        <v>56</v>
      </c>
      <c r="B13" s="9">
        <v>1</v>
      </c>
    </row>
    <row r="14" spans="1:2">
      <c r="A14" s="9" t="s">
        <v>57</v>
      </c>
      <c r="B14" s="9">
        <v>3</v>
      </c>
    </row>
    <row r="15" spans="1:2">
      <c r="A15" s="9" t="s">
        <v>58</v>
      </c>
      <c r="B15" s="9">
        <v>6</v>
      </c>
    </row>
    <row r="16" spans="1:2">
      <c r="A16" s="9" t="s">
        <v>59</v>
      </c>
      <c r="B16" s="9">
        <v>9</v>
      </c>
    </row>
    <row r="17" spans="1:2">
      <c r="A17" s="9" t="s">
        <v>60</v>
      </c>
      <c r="B17" s="9">
        <v>12</v>
      </c>
    </row>
    <row r="19" spans="1:2">
      <c r="A19" s="9" t="s">
        <v>61</v>
      </c>
      <c r="B19" s="9">
        <v>1</v>
      </c>
    </row>
    <row r="20" spans="1:2">
      <c r="A20" s="9" t="s">
        <v>62</v>
      </c>
      <c r="B20" s="9">
        <v>2</v>
      </c>
    </row>
    <row r="21" spans="1:2">
      <c r="A21" s="9" t="s">
        <v>63</v>
      </c>
      <c r="B21" s="9">
        <v>3</v>
      </c>
    </row>
    <row r="22" spans="1:2">
      <c r="A22" s="9" t="s">
        <v>64</v>
      </c>
      <c r="B22" s="9">
        <v>4</v>
      </c>
    </row>
    <row r="24" spans="1:2">
      <c r="A24" s="9" t="s">
        <v>65</v>
      </c>
      <c r="B24" s="9">
        <v>1</v>
      </c>
    </row>
    <row r="25" spans="1:2">
      <c r="A25" s="9" t="s">
        <v>66</v>
      </c>
      <c r="B25" s="9">
        <v>2</v>
      </c>
    </row>
    <row r="26" spans="1:2">
      <c r="A26" s="9" t="s">
        <v>67</v>
      </c>
      <c r="B26" s="9">
        <v>3</v>
      </c>
    </row>
    <row r="27" spans="1:2">
      <c r="A27" s="9" t="s">
        <v>68</v>
      </c>
      <c r="B27" s="9">
        <v>4</v>
      </c>
    </row>
    <row r="28" spans="1:2">
      <c r="A28" s="9" t="s">
        <v>69</v>
      </c>
      <c r="B28" s="9">
        <v>5</v>
      </c>
    </row>
    <row r="30" spans="1:2">
      <c r="A30" s="9" t="s">
        <v>70</v>
      </c>
      <c r="B30" s="9">
        <v>0.5</v>
      </c>
    </row>
    <row r="31" spans="1:2">
      <c r="A31" s="9" t="s">
        <v>71</v>
      </c>
      <c r="B31" s="9">
        <v>1</v>
      </c>
    </row>
    <row r="32" spans="1:2">
      <c r="A32" s="9" t="s">
        <v>72</v>
      </c>
      <c r="B32" s="9">
        <v>1.5</v>
      </c>
    </row>
    <row r="33" spans="1:2">
      <c r="A33" s="9" t="s">
        <v>73</v>
      </c>
      <c r="B33" s="9">
        <v>2</v>
      </c>
    </row>
    <row r="34" spans="1:2">
      <c r="A34" s="9" t="s">
        <v>74</v>
      </c>
      <c r="B34" s="9">
        <v>3</v>
      </c>
    </row>
    <row r="36" spans="1:2">
      <c r="A36" s="9" t="s">
        <v>75</v>
      </c>
    </row>
    <row r="37" spans="1:2">
      <c r="A37" s="9" t="s">
        <v>76</v>
      </c>
    </row>
    <row r="38" spans="1:2">
      <c r="A38" s="9" t="s">
        <v>77</v>
      </c>
    </row>
    <row r="40" spans="1:2">
      <c r="A40" s="9" t="s">
        <v>75</v>
      </c>
    </row>
    <row r="41" spans="1:2">
      <c r="A41" s="9" t="s">
        <v>76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C21C-2322-43BB-BEF3-E3A05F06AC53}">
  <dimension ref="A1:AT178"/>
  <sheetViews>
    <sheetView showGridLines="0" workbookViewId="0">
      <selection activeCell="B9" sqref="B9"/>
    </sheetView>
  </sheetViews>
  <sheetFormatPr defaultColWidth="9.140625" defaultRowHeight="14.45"/>
  <cols>
    <col min="1" max="1" width="2.140625" customWidth="1"/>
    <col min="2" max="46" width="5.28515625" customWidth="1"/>
  </cols>
  <sheetData>
    <row r="1" spans="1:46" ht="8.25" customHeight="1"/>
    <row r="2" spans="1:46" ht="21.95" customHeight="1">
      <c r="B2" s="31" t="s">
        <v>18</v>
      </c>
      <c r="C2" s="31"/>
      <c r="D2" s="32"/>
      <c r="E2" s="27" t="s">
        <v>1</v>
      </c>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1"/>
      <c r="AT2" s="1"/>
    </row>
    <row r="3" spans="1:46" ht="21.95" customHeight="1">
      <c r="B3" s="31"/>
      <c r="C3" s="31"/>
      <c r="D3" s="32"/>
      <c r="E3" s="29" t="s">
        <v>2</v>
      </c>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2"/>
      <c r="AT3" s="2"/>
    </row>
    <row r="4" spans="1:46" ht="5.0999999999999996" customHeight="1" thickBot="1">
      <c r="B4" s="3"/>
      <c r="C4" s="4"/>
      <c r="D4" s="5"/>
      <c r="E4" s="5"/>
      <c r="F4" s="5"/>
      <c r="G4" s="5"/>
      <c r="H4" s="5"/>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row>
    <row r="5" spans="1:46" ht="5.0999999999999996" customHeight="1" thickTop="1"/>
    <row r="6" spans="1:46" ht="5.45"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row>
    <row r="7" spans="1:46">
      <c r="A7" s="9"/>
      <c r="B7" s="72" t="s">
        <v>78</v>
      </c>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row>
    <row r="8" spans="1:46">
      <c r="A8" s="9"/>
      <c r="B8" s="117"/>
      <c r="C8" s="117"/>
      <c r="D8" s="117"/>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row>
    <row r="9" spans="1:46">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row>
    <row r="10" spans="1:46">
      <c r="A10" s="9"/>
      <c r="B10" s="74" t="s">
        <v>79</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row>
    <row r="11" spans="1:46">
      <c r="A11" s="9"/>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row>
    <row r="12" spans="1:46">
      <c r="A12" s="9"/>
      <c r="B12" s="105" t="s">
        <v>80</v>
      </c>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row>
    <row r="13" spans="1:46">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row>
    <row r="14" spans="1:46">
      <c r="A14" s="9"/>
      <c r="B14" s="74" t="s">
        <v>81</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row>
    <row r="15" spans="1:46">
      <c r="A15" s="9"/>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row>
    <row r="16" spans="1:46">
      <c r="A16" s="9"/>
      <c r="B16" s="74" t="s">
        <v>82</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row>
    <row r="17" spans="1:46">
      <c r="A17" s="9"/>
      <c r="B17" s="79"/>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row>
    <row r="18" spans="1:46">
      <c r="A18" s="9"/>
      <c r="B18" s="79"/>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row>
    <row r="19" spans="1:46">
      <c r="A19" s="9"/>
      <c r="B19" s="79"/>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row>
    <row r="20" spans="1:46">
      <c r="A20" s="9"/>
      <c r="B20" s="123" t="s">
        <v>83</v>
      </c>
      <c r="C20" s="123"/>
      <c r="D20" s="123"/>
      <c r="E20" s="123"/>
      <c r="F20" s="123"/>
      <c r="G20" s="123"/>
      <c r="H20" s="124" t="s">
        <v>25</v>
      </c>
      <c r="I20" s="124"/>
      <c r="J20" s="124"/>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row>
    <row r="21" spans="1:46">
      <c r="A21" s="9"/>
      <c r="B21" s="123"/>
      <c r="C21" s="123"/>
      <c r="D21" s="123"/>
      <c r="E21" s="123"/>
      <c r="F21" s="123"/>
      <c r="G21" s="123"/>
      <c r="H21" s="124"/>
      <c r="I21" s="124"/>
      <c r="J21" s="124"/>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row>
    <row r="22" spans="1:46">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row>
    <row r="23" spans="1:46">
      <c r="A23" s="9"/>
      <c r="B23" s="91" t="s">
        <v>84</v>
      </c>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row>
    <row r="24" spans="1:46">
      <c r="A24" s="9"/>
      <c r="B24" s="91"/>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row>
    <row r="25" spans="1:46">
      <c r="A25" s="9"/>
      <c r="B25" s="74" t="s">
        <v>85</v>
      </c>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row>
    <row r="26" spans="1:46" s="9" customFormat="1">
      <c r="B26" s="79" t="s">
        <v>25</v>
      </c>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row>
    <row r="27" spans="1:46" s="9" customFormat="1">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row>
    <row r="28" spans="1:46" s="9" customFormat="1">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row>
    <row r="29" spans="1:46" s="9" customFormat="1">
      <c r="B29" s="74" t="s">
        <v>86</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row>
    <row r="30" spans="1:46" s="9" customFormat="1">
      <c r="B30" s="79" t="s">
        <v>25</v>
      </c>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row>
    <row r="31" spans="1:46" s="9" customFormat="1">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row>
    <row r="32" spans="1:46" s="9" customFormat="1">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row>
    <row r="33" spans="2:46" s="9" customFormat="1">
      <c r="B33" s="74" t="s">
        <v>87</v>
      </c>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row>
    <row r="34" spans="2:46" s="9" customFormat="1">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row>
    <row r="35" spans="2:46" s="9" customFormat="1">
      <c r="B35" s="74" t="s">
        <v>88</v>
      </c>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row>
    <row r="36" spans="2:46" s="9" customFormat="1">
      <c r="B36" s="79" t="s">
        <v>25</v>
      </c>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row>
    <row r="37" spans="2:46" s="9" customFormat="1">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row>
    <row r="38" spans="2:46" s="9" customFormat="1">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row>
    <row r="39" spans="2:46" s="9" customFormat="1"/>
    <row r="40" spans="2:46" s="9" customFormat="1">
      <c r="B40" s="91" t="s">
        <v>89</v>
      </c>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row>
    <row r="41" spans="2:46" s="9" customFormat="1">
      <c r="B41" s="91"/>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row>
    <row r="42" spans="2:46" s="9" customFormat="1">
      <c r="B42" s="74" t="s">
        <v>90</v>
      </c>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row>
    <row r="43" spans="2:46" s="9" customFormat="1">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row>
    <row r="44" spans="2:46" s="9" customFormat="1">
      <c r="B44" s="105" t="s">
        <v>91</v>
      </c>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row>
    <row r="45" spans="2:46" s="9" customFormat="1">
      <c r="B45" s="107" t="s">
        <v>92</v>
      </c>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2"/>
    </row>
    <row r="46" spans="2:46" s="9" customFormat="1">
      <c r="B46" s="79" t="s">
        <v>25</v>
      </c>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row>
    <row r="47" spans="2:46" s="9" customFormat="1">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row>
    <row r="48" spans="2:46" s="9" customFormat="1">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row>
    <row r="49" spans="1:46" s="9" customFormat="1">
      <c r="B49" s="107" t="s">
        <v>93</v>
      </c>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2"/>
    </row>
    <row r="50" spans="1:46" s="9" customFormat="1">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row>
    <row r="51" spans="1:46" s="9" customFormat="1">
      <c r="B51" s="107" t="s">
        <v>94</v>
      </c>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2"/>
    </row>
    <row r="52" spans="1:46" s="9" customFormat="1">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row>
    <row r="53" spans="1:46" s="9" customFormat="1">
      <c r="B53" s="107" t="s">
        <v>95</v>
      </c>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2"/>
    </row>
    <row r="54" spans="1:46" s="9" customFormat="1">
      <c r="B54" s="79" t="s">
        <v>25</v>
      </c>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row>
    <row r="55" spans="1:46" s="9" customFormat="1">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row>
    <row r="56" spans="1:46" s="9" customFormat="1">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row>
    <row r="57" spans="1:46" s="9" customFormat="1"/>
    <row r="58" spans="1:46" s="9" customFormat="1">
      <c r="B58" s="91" t="s">
        <v>96</v>
      </c>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row>
    <row r="59" spans="1:46" s="9" customFormat="1">
      <c r="B59" s="91"/>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row>
    <row r="60" spans="1:46" s="9" customFormat="1">
      <c r="B60" s="74" t="s">
        <v>97</v>
      </c>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row>
    <row r="61" spans="1:46" ht="15.6" customHeight="1">
      <c r="A61" s="9"/>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row>
    <row r="62" spans="1:46" ht="15.6" customHeight="1">
      <c r="A62" s="9"/>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row>
    <row r="63" spans="1:46" ht="15.6" customHeight="1">
      <c r="A63" s="9"/>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row>
    <row r="64" spans="1:46" ht="15.6" customHeight="1">
      <c r="A64" s="9"/>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row>
    <row r="65" spans="1:46" ht="15.6" customHeight="1">
      <c r="A65" s="9"/>
      <c r="B65" s="114" t="s">
        <v>30</v>
      </c>
      <c r="C65" s="115"/>
      <c r="D65" s="115"/>
      <c r="E65" s="115"/>
      <c r="F65" s="115"/>
      <c r="G65" s="116"/>
      <c r="H65" s="93" t="s">
        <v>25</v>
      </c>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5"/>
    </row>
    <row r="66" spans="1:46" s="9" customFormat="1">
      <c r="B66" s="74" t="s">
        <v>98</v>
      </c>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row>
    <row r="67" spans="1:46" s="9" customFormat="1">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row>
    <row r="68" spans="1:46" s="9" customFormat="1">
      <c r="B68" s="74" t="s">
        <v>99</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row>
    <row r="69" spans="1:46" s="9" customFormat="1">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row>
    <row r="70" spans="1:46" s="9" customFormat="1">
      <c r="B70" s="74" t="s">
        <v>100</v>
      </c>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row>
    <row r="71" spans="1:46" s="9" customFormat="1">
      <c r="B71" s="79" t="s">
        <v>25</v>
      </c>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row>
    <row r="72" spans="1:46" s="9" customFormat="1">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row>
    <row r="73" spans="1:46" s="9" customFormat="1">
      <c r="B73" s="74" t="s">
        <v>101</v>
      </c>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row>
    <row r="74" spans="1:46" s="9" customFormat="1">
      <c r="B74" s="79" t="s">
        <v>25</v>
      </c>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row>
    <row r="75" spans="1:46" s="9" customFormat="1">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row>
    <row r="76" spans="1:46" s="9" customFormat="1">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row>
    <row r="77" spans="1:46" s="9" customFormat="1">
      <c r="B77" s="74" t="s">
        <v>102</v>
      </c>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row>
    <row r="78" spans="1:46" s="9" customFormat="1">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row>
    <row r="79" spans="1:46" s="9" customFormat="1">
      <c r="B79" s="74" t="s">
        <v>103</v>
      </c>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row>
    <row r="80" spans="1:46" s="9" customFormat="1">
      <c r="B80" s="79" t="s">
        <v>25</v>
      </c>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row>
    <row r="81" spans="2:46" s="9" customFormat="1">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row>
    <row r="82" spans="2:46" s="9" customFormat="1">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row>
    <row r="83" spans="2:46" s="9" customFormat="1"/>
    <row r="84" spans="2:46" s="9" customFormat="1">
      <c r="B84" s="91" t="s">
        <v>104</v>
      </c>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row>
    <row r="85" spans="2:46" s="9" customFormat="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row>
    <row r="86" spans="2:46" s="9" customFormat="1">
      <c r="B86" s="74" t="s">
        <v>105</v>
      </c>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row>
    <row r="87" spans="2:46" s="9" customFormat="1">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row>
    <row r="88" spans="2:46" s="9" customFormat="1">
      <c r="B88" s="74" t="s">
        <v>106</v>
      </c>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row>
    <row r="89" spans="2:46" s="9" customFormat="1">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row>
    <row r="90" spans="2:46" s="9" customFormat="1">
      <c r="B90" s="74" t="s">
        <v>107</v>
      </c>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row>
    <row r="91" spans="2:46" s="9" customFormat="1">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row>
    <row r="92" spans="2:46" s="9" customFormat="1">
      <c r="B92" s="74" t="s">
        <v>108</v>
      </c>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row>
    <row r="93" spans="2:46" s="9" customFormat="1">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row>
    <row r="94" spans="2:46" s="9" customFormat="1">
      <c r="B94" s="118" t="s">
        <v>109</v>
      </c>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20"/>
    </row>
    <row r="95" spans="2:46" s="9" customFormat="1">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row>
    <row r="96" spans="2:46" s="9" customFormat="1">
      <c r="B96" s="118" t="s">
        <v>110</v>
      </c>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20"/>
    </row>
    <row r="97" spans="2:46" s="9" customFormat="1">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row>
    <row r="98" spans="2:46" s="9" customFormat="1">
      <c r="B98" s="118" t="s">
        <v>111</v>
      </c>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20"/>
    </row>
    <row r="99" spans="2:46" s="9" customFormat="1">
      <c r="B99" s="79" t="s">
        <v>25</v>
      </c>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row>
    <row r="100" spans="2:46" s="9" customFormat="1">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row>
    <row r="101" spans="2:46" s="9" customFormat="1">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row>
    <row r="102" spans="2:46" s="9" customFormat="1"/>
    <row r="103" spans="2:46" s="9" customFormat="1">
      <c r="B103" s="91" t="s">
        <v>112</v>
      </c>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row>
    <row r="104" spans="2:46" s="9" customFormat="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row>
    <row r="105" spans="2:46" s="9" customFormat="1">
      <c r="B105" s="74" t="s">
        <v>113</v>
      </c>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row>
    <row r="106" spans="2:46" s="9" customFormat="1">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row>
    <row r="107" spans="2:46" s="9" customFormat="1">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row>
    <row r="108" spans="2:46" s="9" customFormat="1">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row>
    <row r="109" spans="2:46" s="9" customFormat="1">
      <c r="B109" s="118" t="s">
        <v>114</v>
      </c>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20"/>
    </row>
    <row r="110" spans="2:46" s="9" customFormat="1">
      <c r="B110" s="79" t="s">
        <v>25</v>
      </c>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row>
    <row r="111" spans="2:46" s="9" customFormat="1">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row>
    <row r="112" spans="2:46" s="9" customFormat="1">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row>
    <row r="113" spans="2:46" s="9" customFormat="1">
      <c r="B113" s="74" t="s">
        <v>115</v>
      </c>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row>
    <row r="114" spans="2:46" s="9" customFormat="1">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row>
    <row r="115" spans="2:46" s="9" customFormat="1">
      <c r="B115" s="74" t="s">
        <v>116</v>
      </c>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row>
    <row r="116" spans="2:46" s="9" customFormat="1">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row>
    <row r="117" spans="2:46" s="9" customFormat="1">
      <c r="B117" s="118" t="s">
        <v>117</v>
      </c>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20"/>
    </row>
    <row r="118" spans="2:46" s="9" customFormat="1">
      <c r="B118" s="79" t="s">
        <v>25</v>
      </c>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row>
    <row r="119" spans="2:46" s="9" customFormat="1">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row>
    <row r="120" spans="2:46" s="9" customFormat="1">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row>
    <row r="121" spans="2:46" s="9" customFormat="1"/>
    <row r="122" spans="2:46" s="9" customFormat="1" ht="14.45" customHeight="1">
      <c r="B122" s="121" t="s">
        <v>118</v>
      </c>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row>
    <row r="123" spans="2:46" s="9" customFormat="1">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row>
    <row r="124" spans="2:46" s="9" customFormat="1">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row>
    <row r="125" spans="2:46" s="9" customFormat="1"/>
    <row r="126" spans="2:46" s="9" customFormat="1"/>
    <row r="127" spans="2:46" s="9" customFormat="1"/>
    <row r="128" spans="2:46" s="9" customFormat="1"/>
    <row r="129" s="9" customFormat="1"/>
    <row r="130" s="9" customFormat="1"/>
    <row r="131" s="9" customFormat="1"/>
    <row r="132" s="9" customFormat="1"/>
    <row r="133" s="9" customFormat="1"/>
    <row r="134" s="9" customFormat="1"/>
    <row r="135" s="9" customFormat="1"/>
    <row r="136" s="9" customFormat="1"/>
    <row r="137" s="9" customFormat="1"/>
    <row r="138" s="9" customFormat="1"/>
    <row r="139" s="9" customFormat="1"/>
    <row r="140" s="9" customFormat="1"/>
    <row r="141" s="9" customFormat="1"/>
    <row r="142" s="9" customFormat="1"/>
    <row r="143" s="9" customFormat="1"/>
    <row r="144" s="9" customFormat="1"/>
    <row r="145" s="9" customFormat="1"/>
    <row r="146" s="9" customFormat="1"/>
    <row r="147" s="9" customFormat="1"/>
    <row r="148" s="9" customFormat="1"/>
    <row r="149" s="9" customFormat="1"/>
    <row r="150" s="9" customFormat="1"/>
    <row r="151" s="9" customFormat="1"/>
    <row r="152" s="9" customFormat="1"/>
    <row r="153" s="9" customFormat="1"/>
    <row r="154" s="9" customFormat="1"/>
    <row r="155" s="9" customFormat="1"/>
    <row r="156" s="9" customFormat="1"/>
    <row r="157" s="9" customFormat="1"/>
    <row r="158" s="9" customFormat="1"/>
    <row r="159" s="9" customFormat="1"/>
    <row r="160" s="9" customFormat="1"/>
    <row r="161" s="9" customFormat="1"/>
    <row r="162" s="9" customFormat="1"/>
    <row r="163" s="9" customFormat="1"/>
    <row r="164" s="9" customFormat="1"/>
    <row r="165" s="9" customFormat="1"/>
    <row r="166" s="9" customFormat="1"/>
    <row r="167" s="9" customFormat="1"/>
    <row r="168" s="9" customFormat="1"/>
    <row r="169" s="9" customFormat="1"/>
    <row r="170" s="9" customFormat="1"/>
    <row r="171" s="9" customFormat="1"/>
    <row r="172" s="9" customFormat="1"/>
    <row r="173" s="9" customFormat="1"/>
    <row r="174" s="9" customFormat="1"/>
    <row r="175" s="9" customFormat="1"/>
    <row r="176" s="9" customFormat="1"/>
    <row r="177" s="9" customFormat="1"/>
    <row r="178" s="9" customFormat="1"/>
  </sheetData>
  <mergeCells count="78">
    <mergeCell ref="B122:AT124"/>
    <mergeCell ref="B10:AT10"/>
    <mergeCell ref="B11:AT11"/>
    <mergeCell ref="B12:AT12"/>
    <mergeCell ref="B118:AT120"/>
    <mergeCell ref="B16:AT16"/>
    <mergeCell ref="B17:AT19"/>
    <mergeCell ref="B20:G21"/>
    <mergeCell ref="H20:AT21"/>
    <mergeCell ref="B110:AT112"/>
    <mergeCell ref="B113:AT113"/>
    <mergeCell ref="B114:AT114"/>
    <mergeCell ref="B115:AT115"/>
    <mergeCell ref="B116:AT116"/>
    <mergeCell ref="B117:AT117"/>
    <mergeCell ref="B103:AT104"/>
    <mergeCell ref="B105:AT105"/>
    <mergeCell ref="B106:AT108"/>
    <mergeCell ref="B98:AT98"/>
    <mergeCell ref="B109:AT109"/>
    <mergeCell ref="B93:AT93"/>
    <mergeCell ref="B94:AT94"/>
    <mergeCell ref="B95:AT95"/>
    <mergeCell ref="B96:AT96"/>
    <mergeCell ref="B97:AT97"/>
    <mergeCell ref="B99:AT101"/>
    <mergeCell ref="B88:AT88"/>
    <mergeCell ref="B89:AT89"/>
    <mergeCell ref="B90:AT90"/>
    <mergeCell ref="B91:AT91"/>
    <mergeCell ref="B92:AT92"/>
    <mergeCell ref="B87:AT87"/>
    <mergeCell ref="B69:AT69"/>
    <mergeCell ref="B70:AT70"/>
    <mergeCell ref="B71:AT72"/>
    <mergeCell ref="B73:AT73"/>
    <mergeCell ref="B74:AT76"/>
    <mergeCell ref="B77:AT77"/>
    <mergeCell ref="B78:AT78"/>
    <mergeCell ref="B79:AT79"/>
    <mergeCell ref="B80:AT82"/>
    <mergeCell ref="B84:AT85"/>
    <mergeCell ref="B86:AT86"/>
    <mergeCell ref="B68:AT68"/>
    <mergeCell ref="B33:AT33"/>
    <mergeCell ref="B34:AT34"/>
    <mergeCell ref="B35:AT35"/>
    <mergeCell ref="B36:AT38"/>
    <mergeCell ref="B58:AT59"/>
    <mergeCell ref="B60:AT60"/>
    <mergeCell ref="B61:AT64"/>
    <mergeCell ref="B65:G65"/>
    <mergeCell ref="H65:AT65"/>
    <mergeCell ref="B66:AT66"/>
    <mergeCell ref="B67:AT67"/>
    <mergeCell ref="B40:AT41"/>
    <mergeCell ref="B42:AT42"/>
    <mergeCell ref="B43:AT43"/>
    <mergeCell ref="B44:AT44"/>
    <mergeCell ref="B30:AT32"/>
    <mergeCell ref="B2:D3"/>
    <mergeCell ref="E2:AR2"/>
    <mergeCell ref="E3:AR3"/>
    <mergeCell ref="B7:AT8"/>
    <mergeCell ref="B14:AT14"/>
    <mergeCell ref="B15:AT15"/>
    <mergeCell ref="B23:AT24"/>
    <mergeCell ref="B25:AT25"/>
    <mergeCell ref="B26:AT28"/>
    <mergeCell ref="B29:AT29"/>
    <mergeCell ref="B52:AT52"/>
    <mergeCell ref="B53:AT53"/>
    <mergeCell ref="B54:AT56"/>
    <mergeCell ref="B45:AT45"/>
    <mergeCell ref="B46:AT48"/>
    <mergeCell ref="B49:AT49"/>
    <mergeCell ref="B50:AT50"/>
    <mergeCell ref="B51:AT51"/>
  </mergeCells>
  <pageMargins left="0.511811024" right="0.511811024" top="0.78740157499999996" bottom="0.78740157499999996" header="0.31496062000000002" footer="0.31496062000000002"/>
  <drawing r:id="rId1"/>
  <legacyDrawing r:id="rId2"/>
  <mc:AlternateContent xmlns:mc="http://schemas.openxmlformats.org/markup-compatibility/2006">
    <mc:Choice Requires="x14">
      <controls>
        <mc:AlternateContent xmlns:mc="http://schemas.openxmlformats.org/markup-compatibility/2006">
          <mc:Choice Requires="x14">
            <control shapeId="5125" r:id="rId3" name="Check Box 5">
              <controlPr defaultSize="0" autoFill="0" autoLine="0" autoPict="0">
                <anchor moveWithCells="1">
                  <from>
                    <xdr:col>1</xdr:col>
                    <xdr:colOff>38100</xdr:colOff>
                    <xdr:row>60</xdr:row>
                    <xdr:rowOff>50800</xdr:rowOff>
                  </from>
                  <to>
                    <xdr:col>4</xdr:col>
                    <xdr:colOff>88900</xdr:colOff>
                    <xdr:row>61</xdr:row>
                    <xdr:rowOff>57150</xdr:rowOff>
                  </to>
                </anchor>
              </controlPr>
            </control>
          </mc:Choice>
        </mc:AlternateContent>
        <mc:AlternateContent xmlns:mc="http://schemas.openxmlformats.org/markup-compatibility/2006">
          <mc:Choice Requires="x14">
            <control shapeId="5126" r:id="rId4" name="Check Box 6">
              <controlPr defaultSize="0" autoFill="0" autoLine="0" autoPict="0">
                <anchor moveWithCells="1">
                  <from>
                    <xdr:col>1</xdr:col>
                    <xdr:colOff>38100</xdr:colOff>
                    <xdr:row>61</xdr:row>
                    <xdr:rowOff>107950</xdr:rowOff>
                  </from>
                  <to>
                    <xdr:col>4</xdr:col>
                    <xdr:colOff>88900</xdr:colOff>
                    <xdr:row>62</xdr:row>
                    <xdr:rowOff>114300</xdr:rowOff>
                  </to>
                </anchor>
              </controlPr>
            </control>
          </mc:Choice>
        </mc:AlternateContent>
        <mc:AlternateContent xmlns:mc="http://schemas.openxmlformats.org/markup-compatibility/2006">
          <mc:Choice Requires="x14">
            <control shapeId="5127" r:id="rId5" name="Check Box 7">
              <controlPr defaultSize="0" autoFill="0" autoLine="0" autoPict="0">
                <anchor moveWithCells="1">
                  <from>
                    <xdr:col>2</xdr:col>
                    <xdr:colOff>342900</xdr:colOff>
                    <xdr:row>60</xdr:row>
                    <xdr:rowOff>50800</xdr:rowOff>
                  </from>
                  <to>
                    <xdr:col>6</xdr:col>
                    <xdr:colOff>19050</xdr:colOff>
                    <xdr:row>61</xdr:row>
                    <xdr:rowOff>57150</xdr:rowOff>
                  </to>
                </anchor>
              </controlPr>
            </control>
          </mc:Choice>
        </mc:AlternateContent>
        <mc:AlternateContent xmlns:mc="http://schemas.openxmlformats.org/markup-compatibility/2006">
          <mc:Choice Requires="x14">
            <control shapeId="5128" r:id="rId6" name="Check Box 8">
              <controlPr defaultSize="0" autoFill="0" autoLine="0" autoPict="0">
                <anchor moveWithCells="1">
                  <from>
                    <xdr:col>2</xdr:col>
                    <xdr:colOff>342900</xdr:colOff>
                    <xdr:row>61</xdr:row>
                    <xdr:rowOff>101600</xdr:rowOff>
                  </from>
                  <to>
                    <xdr:col>6</xdr:col>
                    <xdr:colOff>19050</xdr:colOff>
                    <xdr:row>62</xdr:row>
                    <xdr:rowOff>114300</xdr:rowOff>
                  </to>
                </anchor>
              </controlPr>
            </control>
          </mc:Choice>
        </mc:AlternateContent>
        <mc:AlternateContent xmlns:mc="http://schemas.openxmlformats.org/markup-compatibility/2006">
          <mc:Choice Requires="x14">
            <control shapeId="5129" r:id="rId7" name="Check Box 9">
              <controlPr defaultSize="0" autoFill="0" autoLine="0" autoPict="0">
                <anchor moveWithCells="1">
                  <from>
                    <xdr:col>6</xdr:col>
                    <xdr:colOff>69850</xdr:colOff>
                    <xdr:row>60</xdr:row>
                    <xdr:rowOff>50800</xdr:rowOff>
                  </from>
                  <to>
                    <xdr:col>9</xdr:col>
                    <xdr:colOff>114300</xdr:colOff>
                    <xdr:row>61</xdr:row>
                    <xdr:rowOff>57150</xdr:rowOff>
                  </to>
                </anchor>
              </controlPr>
            </control>
          </mc:Choice>
        </mc:AlternateContent>
        <mc:AlternateContent xmlns:mc="http://schemas.openxmlformats.org/markup-compatibility/2006">
          <mc:Choice Requires="x14">
            <control shapeId="5130" r:id="rId8" name="Check Box 10">
              <controlPr defaultSize="0" autoFill="0" autoLine="0" autoPict="0">
                <anchor moveWithCells="1">
                  <from>
                    <xdr:col>6</xdr:col>
                    <xdr:colOff>69850</xdr:colOff>
                    <xdr:row>61</xdr:row>
                    <xdr:rowOff>101600</xdr:rowOff>
                  </from>
                  <to>
                    <xdr:col>9</xdr:col>
                    <xdr:colOff>114300</xdr:colOff>
                    <xdr:row>62</xdr:row>
                    <xdr:rowOff>114300</xdr:rowOff>
                  </to>
                </anchor>
              </controlPr>
            </control>
          </mc:Choice>
        </mc:AlternateContent>
        <mc:AlternateContent xmlns:mc="http://schemas.openxmlformats.org/markup-compatibility/2006">
          <mc:Choice Requires="x14">
            <control shapeId="5131" r:id="rId9" name="Check Box 11">
              <controlPr defaultSize="0" autoFill="0" autoLine="0" autoPict="0">
                <anchor moveWithCells="1">
                  <from>
                    <xdr:col>8</xdr:col>
                    <xdr:colOff>323850</xdr:colOff>
                    <xdr:row>60</xdr:row>
                    <xdr:rowOff>44450</xdr:rowOff>
                  </from>
                  <to>
                    <xdr:col>12</xdr:col>
                    <xdr:colOff>0</xdr:colOff>
                    <xdr:row>61</xdr:row>
                    <xdr:rowOff>57150</xdr:rowOff>
                  </to>
                </anchor>
              </controlPr>
            </control>
          </mc:Choice>
        </mc:AlternateContent>
        <mc:AlternateContent xmlns:mc="http://schemas.openxmlformats.org/markup-compatibility/2006">
          <mc:Choice Requires="x14">
            <control shapeId="5132" r:id="rId10" name="Check Box 12">
              <controlPr defaultSize="0" autoFill="0" autoLine="0" autoPict="0">
                <anchor moveWithCells="1">
                  <from>
                    <xdr:col>8</xdr:col>
                    <xdr:colOff>323850</xdr:colOff>
                    <xdr:row>61</xdr:row>
                    <xdr:rowOff>101600</xdr:rowOff>
                  </from>
                  <to>
                    <xdr:col>12</xdr:col>
                    <xdr:colOff>0</xdr:colOff>
                    <xdr:row>62</xdr:row>
                    <xdr:rowOff>114300</xdr:rowOff>
                  </to>
                </anchor>
              </controlPr>
            </control>
          </mc:Choice>
        </mc:AlternateContent>
        <mc:AlternateContent xmlns:mc="http://schemas.openxmlformats.org/markup-compatibility/2006">
          <mc:Choice Requires="x14">
            <control shapeId="5133" r:id="rId11" name="Check Box 13">
              <controlPr defaultSize="0" autoFill="0" autoLine="0" autoPict="0">
                <anchor moveWithCells="1">
                  <from>
                    <xdr:col>12</xdr:col>
                    <xdr:colOff>101600</xdr:colOff>
                    <xdr:row>60</xdr:row>
                    <xdr:rowOff>57150</xdr:rowOff>
                  </from>
                  <to>
                    <xdr:col>15</xdr:col>
                    <xdr:colOff>152400</xdr:colOff>
                    <xdr:row>61</xdr:row>
                    <xdr:rowOff>69850</xdr:rowOff>
                  </to>
                </anchor>
              </controlPr>
            </control>
          </mc:Choice>
        </mc:AlternateContent>
        <mc:AlternateContent xmlns:mc="http://schemas.openxmlformats.org/markup-compatibility/2006">
          <mc:Choice Requires="x14">
            <control shapeId="5134" r:id="rId12" name="Check Box 14">
              <controlPr defaultSize="0" autoFill="0" autoLine="0" autoPict="0">
                <anchor moveWithCells="1">
                  <from>
                    <xdr:col>12</xdr:col>
                    <xdr:colOff>107950</xdr:colOff>
                    <xdr:row>61</xdr:row>
                    <xdr:rowOff>114300</xdr:rowOff>
                  </from>
                  <to>
                    <xdr:col>15</xdr:col>
                    <xdr:colOff>152400</xdr:colOff>
                    <xdr:row>62</xdr:row>
                    <xdr:rowOff>127000</xdr:rowOff>
                  </to>
                </anchor>
              </controlPr>
            </control>
          </mc:Choice>
        </mc:AlternateContent>
        <mc:AlternateContent xmlns:mc="http://schemas.openxmlformats.org/markup-compatibility/2006">
          <mc:Choice Requires="x14">
            <control shapeId="5135" r:id="rId13" name="Check Box 15">
              <controlPr defaultSize="0" autoFill="0" autoLine="0" autoPict="0">
                <anchor moveWithCells="1">
                  <from>
                    <xdr:col>16</xdr:col>
                    <xdr:colOff>25400</xdr:colOff>
                    <xdr:row>60</xdr:row>
                    <xdr:rowOff>69850</xdr:rowOff>
                  </from>
                  <to>
                    <xdr:col>19</xdr:col>
                    <xdr:colOff>76200</xdr:colOff>
                    <xdr:row>61</xdr:row>
                    <xdr:rowOff>76200</xdr:rowOff>
                  </to>
                </anchor>
              </controlPr>
            </control>
          </mc:Choice>
        </mc:AlternateContent>
        <mc:AlternateContent xmlns:mc="http://schemas.openxmlformats.org/markup-compatibility/2006">
          <mc:Choice Requires="x14">
            <control shapeId="5136" r:id="rId14" name="Check Box 16">
              <controlPr defaultSize="0" autoFill="0" autoLine="0" autoPict="0">
                <anchor moveWithCells="1">
                  <from>
                    <xdr:col>16</xdr:col>
                    <xdr:colOff>31750</xdr:colOff>
                    <xdr:row>61</xdr:row>
                    <xdr:rowOff>120650</xdr:rowOff>
                  </from>
                  <to>
                    <xdr:col>19</xdr:col>
                    <xdr:colOff>76200</xdr:colOff>
                    <xdr:row>62</xdr:row>
                    <xdr:rowOff>133350</xdr:rowOff>
                  </to>
                </anchor>
              </controlPr>
            </control>
          </mc:Choice>
        </mc:AlternateContent>
        <mc:AlternateContent xmlns:mc="http://schemas.openxmlformats.org/markup-compatibility/2006">
          <mc:Choice Requires="x14">
            <control shapeId="5137" r:id="rId15" name="Check Box 17">
              <controlPr defaultSize="0" autoFill="0" autoLine="0" autoPict="0">
                <anchor moveWithCells="1">
                  <from>
                    <xdr:col>19</xdr:col>
                    <xdr:colOff>196850</xdr:colOff>
                    <xdr:row>60</xdr:row>
                    <xdr:rowOff>63500</xdr:rowOff>
                  </from>
                  <to>
                    <xdr:col>22</xdr:col>
                    <xdr:colOff>247650</xdr:colOff>
                    <xdr:row>61</xdr:row>
                    <xdr:rowOff>76200</xdr:rowOff>
                  </to>
                </anchor>
              </controlPr>
            </control>
          </mc:Choice>
        </mc:AlternateContent>
        <mc:AlternateContent xmlns:mc="http://schemas.openxmlformats.org/markup-compatibility/2006">
          <mc:Choice Requires="x14">
            <control shapeId="5138" r:id="rId16" name="Check Box 18">
              <controlPr defaultSize="0" autoFill="0" autoLine="0" autoPict="0">
                <anchor moveWithCells="1">
                  <from>
                    <xdr:col>19</xdr:col>
                    <xdr:colOff>203200</xdr:colOff>
                    <xdr:row>61</xdr:row>
                    <xdr:rowOff>120650</xdr:rowOff>
                  </from>
                  <to>
                    <xdr:col>22</xdr:col>
                    <xdr:colOff>247650</xdr:colOff>
                    <xdr:row>62</xdr:row>
                    <xdr:rowOff>133350</xdr:rowOff>
                  </to>
                </anchor>
              </controlPr>
            </control>
          </mc:Choice>
        </mc:AlternateContent>
        <mc:AlternateContent xmlns:mc="http://schemas.openxmlformats.org/markup-compatibility/2006">
          <mc:Choice Requires="x14">
            <control shapeId="5139" r:id="rId17" name="Check Box 19">
              <controlPr defaultSize="0" autoFill="0" autoLine="0" autoPict="0">
                <anchor moveWithCells="1">
                  <from>
                    <xdr:col>22</xdr:col>
                    <xdr:colOff>260350</xdr:colOff>
                    <xdr:row>60</xdr:row>
                    <xdr:rowOff>63500</xdr:rowOff>
                  </from>
                  <to>
                    <xdr:col>25</xdr:col>
                    <xdr:colOff>304800</xdr:colOff>
                    <xdr:row>61</xdr:row>
                    <xdr:rowOff>76200</xdr:rowOff>
                  </to>
                </anchor>
              </controlPr>
            </control>
          </mc:Choice>
        </mc:AlternateContent>
        <mc:AlternateContent xmlns:mc="http://schemas.openxmlformats.org/markup-compatibility/2006">
          <mc:Choice Requires="x14">
            <control shapeId="5140" r:id="rId18" name="Check Box 20">
              <controlPr defaultSize="0" autoFill="0" autoLine="0" autoPict="0">
                <anchor moveWithCells="1">
                  <from>
                    <xdr:col>22</xdr:col>
                    <xdr:colOff>254000</xdr:colOff>
                    <xdr:row>61</xdr:row>
                    <xdr:rowOff>120650</xdr:rowOff>
                  </from>
                  <to>
                    <xdr:col>25</xdr:col>
                    <xdr:colOff>304800</xdr:colOff>
                    <xdr:row>62</xdr:row>
                    <xdr:rowOff>133350</xdr:rowOff>
                  </to>
                </anchor>
              </controlPr>
            </control>
          </mc:Choice>
        </mc:AlternateContent>
        <mc:AlternateContent xmlns:mc="http://schemas.openxmlformats.org/markup-compatibility/2006">
          <mc:Choice Requires="x14">
            <control shapeId="5141" r:id="rId19" name="Check Box 21">
              <controlPr defaultSize="0" autoFill="0" autoLine="0" autoPict="0">
                <anchor moveWithCells="1">
                  <from>
                    <xdr:col>26</xdr:col>
                    <xdr:colOff>203200</xdr:colOff>
                    <xdr:row>60</xdr:row>
                    <xdr:rowOff>63500</xdr:rowOff>
                  </from>
                  <to>
                    <xdr:col>29</xdr:col>
                    <xdr:colOff>247650</xdr:colOff>
                    <xdr:row>61</xdr:row>
                    <xdr:rowOff>76200</xdr:rowOff>
                  </to>
                </anchor>
              </controlPr>
            </control>
          </mc:Choice>
        </mc:AlternateContent>
        <mc:AlternateContent xmlns:mc="http://schemas.openxmlformats.org/markup-compatibility/2006">
          <mc:Choice Requires="x14">
            <control shapeId="5142" r:id="rId20" name="Check Box 22">
              <controlPr defaultSize="0" autoFill="0" autoLine="0" autoPict="0">
                <anchor moveWithCells="1">
                  <from>
                    <xdr:col>26</xdr:col>
                    <xdr:colOff>196850</xdr:colOff>
                    <xdr:row>61</xdr:row>
                    <xdr:rowOff>127000</xdr:rowOff>
                  </from>
                  <to>
                    <xdr:col>29</xdr:col>
                    <xdr:colOff>247650</xdr:colOff>
                    <xdr:row>62</xdr:row>
                    <xdr:rowOff>133350</xdr:rowOff>
                  </to>
                </anchor>
              </controlPr>
            </control>
          </mc:Choice>
        </mc:AlternateContent>
        <mc:AlternateContent xmlns:mc="http://schemas.openxmlformats.org/markup-compatibility/2006">
          <mc:Choice Requires="x14">
            <control shapeId="5143" r:id="rId21" name="Check Box 23">
              <controlPr defaultSize="0" autoFill="0" autoLine="0" autoPict="0">
                <anchor moveWithCells="1">
                  <from>
                    <xdr:col>29</xdr:col>
                    <xdr:colOff>361950</xdr:colOff>
                    <xdr:row>60</xdr:row>
                    <xdr:rowOff>69850</xdr:rowOff>
                  </from>
                  <to>
                    <xdr:col>33</xdr:col>
                    <xdr:colOff>38100</xdr:colOff>
                    <xdr:row>61</xdr:row>
                    <xdr:rowOff>76200</xdr:rowOff>
                  </to>
                </anchor>
              </controlPr>
            </control>
          </mc:Choice>
        </mc:AlternateContent>
        <mc:AlternateContent xmlns:mc="http://schemas.openxmlformats.org/markup-compatibility/2006">
          <mc:Choice Requires="x14">
            <control shapeId="5144" r:id="rId22" name="Check Box 24">
              <controlPr defaultSize="0" autoFill="0" autoLine="0" autoPict="0">
                <anchor moveWithCells="1">
                  <from>
                    <xdr:col>29</xdr:col>
                    <xdr:colOff>361950</xdr:colOff>
                    <xdr:row>61</xdr:row>
                    <xdr:rowOff>127000</xdr:rowOff>
                  </from>
                  <to>
                    <xdr:col>33</xdr:col>
                    <xdr:colOff>38100</xdr:colOff>
                    <xdr:row>62</xdr:row>
                    <xdr:rowOff>133350</xdr:rowOff>
                  </to>
                </anchor>
              </controlPr>
            </control>
          </mc:Choice>
        </mc:AlternateContent>
        <mc:AlternateContent xmlns:mc="http://schemas.openxmlformats.org/markup-compatibility/2006">
          <mc:Choice Requires="x14">
            <control shapeId="5145" r:id="rId23" name="Check Box 25">
              <controlPr defaultSize="0" autoFill="0" autoLine="0" autoPict="0">
                <anchor moveWithCells="1">
                  <from>
                    <xdr:col>33</xdr:col>
                    <xdr:colOff>304800</xdr:colOff>
                    <xdr:row>60</xdr:row>
                    <xdr:rowOff>69850</xdr:rowOff>
                  </from>
                  <to>
                    <xdr:col>37</xdr:col>
                    <xdr:colOff>3175</xdr:colOff>
                    <xdr:row>61</xdr:row>
                    <xdr:rowOff>76200</xdr:rowOff>
                  </to>
                </anchor>
              </controlPr>
            </control>
          </mc:Choice>
        </mc:AlternateContent>
        <mc:AlternateContent xmlns:mc="http://schemas.openxmlformats.org/markup-compatibility/2006">
          <mc:Choice Requires="x14">
            <control shapeId="5146" r:id="rId24" name="Check Box 26">
              <controlPr defaultSize="0" autoFill="0" autoLine="0" autoPict="0">
                <anchor moveWithCells="1">
                  <from>
                    <xdr:col>33</xdr:col>
                    <xdr:colOff>311150</xdr:colOff>
                    <xdr:row>61</xdr:row>
                    <xdr:rowOff>101600</xdr:rowOff>
                  </from>
                  <to>
                    <xdr:col>43</xdr:col>
                    <xdr:colOff>323850</xdr:colOff>
                    <xdr:row>62</xdr:row>
                    <xdr:rowOff>133350</xdr:rowOff>
                  </to>
                </anchor>
              </controlPr>
            </control>
          </mc:Choice>
        </mc:AlternateContent>
        <mc:AlternateContent xmlns:mc="http://schemas.openxmlformats.org/markup-compatibility/2006">
          <mc:Choice Requires="x14">
            <control shapeId="5147" r:id="rId25" name="Check Box 27">
              <controlPr defaultSize="0" autoFill="0" autoLine="0" autoPict="0">
                <anchor moveWithCells="1">
                  <from>
                    <xdr:col>36</xdr:col>
                    <xdr:colOff>330200</xdr:colOff>
                    <xdr:row>60</xdr:row>
                    <xdr:rowOff>63500</xdr:rowOff>
                  </from>
                  <to>
                    <xdr:col>40</xdr:col>
                    <xdr:colOff>12700</xdr:colOff>
                    <xdr:row>61</xdr:row>
                    <xdr:rowOff>76200</xdr:rowOff>
                  </to>
                </anchor>
              </controlPr>
            </control>
          </mc:Choice>
        </mc:AlternateContent>
        <mc:AlternateContent xmlns:mc="http://schemas.openxmlformats.org/markup-compatibility/2006">
          <mc:Choice Requires="x14">
            <control shapeId="5148" r:id="rId26" name="Check Box 28">
              <controlPr defaultSize="0" autoFill="0" autoLine="0" autoPict="0">
                <anchor moveWithCells="1">
                  <from>
                    <xdr:col>40</xdr:col>
                    <xdr:colOff>57150</xdr:colOff>
                    <xdr:row>60</xdr:row>
                    <xdr:rowOff>57150</xdr:rowOff>
                  </from>
                  <to>
                    <xdr:col>44</xdr:col>
                    <xdr:colOff>50800</xdr:colOff>
                    <xdr:row>61</xdr:row>
                    <xdr:rowOff>76200</xdr:rowOff>
                  </to>
                </anchor>
              </controlPr>
            </control>
          </mc:Choice>
        </mc:AlternateContent>
        <mc:AlternateContent xmlns:mc="http://schemas.openxmlformats.org/markup-compatibility/2006">
          <mc:Choice Requires="x14">
            <control shapeId="5149" r:id="rId27" name="Check Box 29">
              <controlPr defaultSize="0" autoFill="0" autoLine="0" autoPict="0">
                <anchor moveWithCells="1">
                  <from>
                    <xdr:col>1</xdr:col>
                    <xdr:colOff>38100</xdr:colOff>
                    <xdr:row>62</xdr:row>
                    <xdr:rowOff>127000</xdr:rowOff>
                  </from>
                  <to>
                    <xdr:col>4</xdr:col>
                    <xdr:colOff>311150</xdr:colOff>
                    <xdr:row>63</xdr:row>
                    <xdr:rowOff>171450</xdr:rowOff>
                  </to>
                </anchor>
              </controlPr>
            </control>
          </mc:Choice>
        </mc:AlternateContent>
        <mc:AlternateContent xmlns:mc="http://schemas.openxmlformats.org/markup-compatibility/2006">
          <mc:Choice Requires="x14">
            <control shapeId="5150" r:id="rId28" name="Check Box 30">
              <controlPr defaultSize="0" autoFill="0" autoLine="0" autoPict="0">
                <anchor moveWithCells="1">
                  <from>
                    <xdr:col>6</xdr:col>
                    <xdr:colOff>69850</xdr:colOff>
                    <xdr:row>62</xdr:row>
                    <xdr:rowOff>152400</xdr:rowOff>
                  </from>
                  <to>
                    <xdr:col>9</xdr:col>
                    <xdr:colOff>114300</xdr:colOff>
                    <xdr:row>63</xdr:row>
                    <xdr:rowOff>165100</xdr:rowOff>
                  </to>
                </anchor>
              </controlPr>
            </control>
          </mc:Choice>
        </mc:AlternateContent>
        <mc:AlternateContent xmlns:mc="http://schemas.openxmlformats.org/markup-compatibility/2006">
          <mc:Choice Requires="x14">
            <control shapeId="5151" r:id="rId29" name="Check Box 31">
              <controlPr defaultSize="0" autoFill="0" autoLine="0" autoPict="0">
                <anchor moveWithCells="1">
                  <from>
                    <xdr:col>8</xdr:col>
                    <xdr:colOff>323850</xdr:colOff>
                    <xdr:row>62</xdr:row>
                    <xdr:rowOff>146050</xdr:rowOff>
                  </from>
                  <to>
                    <xdr:col>12</xdr:col>
                    <xdr:colOff>165100</xdr:colOff>
                    <xdr:row>63</xdr:row>
                    <xdr:rowOff>165100</xdr:rowOff>
                  </to>
                </anchor>
              </controlPr>
            </control>
          </mc:Choice>
        </mc:AlternateContent>
        <mc:AlternateContent xmlns:mc="http://schemas.openxmlformats.org/markup-compatibility/2006">
          <mc:Choice Requires="x14">
            <control shapeId="5158" r:id="rId30" name="Check Box 38">
              <controlPr defaultSize="0" autoFill="0" autoLine="0" autoPict="0">
                <anchor moveWithCells="1">
                  <from>
                    <xdr:col>1</xdr:col>
                    <xdr:colOff>57150</xdr:colOff>
                    <xdr:row>105</xdr:row>
                    <xdr:rowOff>38100</xdr:rowOff>
                  </from>
                  <to>
                    <xdr:col>4</xdr:col>
                    <xdr:colOff>107950</xdr:colOff>
                    <xdr:row>106</xdr:row>
                    <xdr:rowOff>69850</xdr:rowOff>
                  </to>
                </anchor>
              </controlPr>
            </control>
          </mc:Choice>
        </mc:AlternateContent>
        <mc:AlternateContent xmlns:mc="http://schemas.openxmlformats.org/markup-compatibility/2006">
          <mc:Choice Requires="x14">
            <control shapeId="5159" r:id="rId31" name="Check Box 39">
              <controlPr defaultSize="0" autoFill="0" autoLine="0" autoPict="0">
                <anchor moveWithCells="1">
                  <from>
                    <xdr:col>1</xdr:col>
                    <xdr:colOff>57150</xdr:colOff>
                    <xdr:row>106</xdr:row>
                    <xdr:rowOff>95250</xdr:rowOff>
                  </from>
                  <to>
                    <xdr:col>4</xdr:col>
                    <xdr:colOff>101600</xdr:colOff>
                    <xdr:row>107</xdr:row>
                    <xdr:rowOff>120650</xdr:rowOff>
                  </to>
                </anchor>
              </controlPr>
            </control>
          </mc:Choice>
        </mc:AlternateContent>
        <mc:AlternateContent xmlns:mc="http://schemas.openxmlformats.org/markup-compatibility/2006">
          <mc:Choice Requires="x14">
            <control shapeId="5160" r:id="rId32" name="Check Box 40">
              <controlPr defaultSize="0" autoFill="0" autoLine="0" autoPict="0">
                <anchor moveWithCells="1">
                  <from>
                    <xdr:col>3</xdr:col>
                    <xdr:colOff>203200</xdr:colOff>
                    <xdr:row>105</xdr:row>
                    <xdr:rowOff>38100</xdr:rowOff>
                  </from>
                  <to>
                    <xdr:col>6</xdr:col>
                    <xdr:colOff>247650</xdr:colOff>
                    <xdr:row>106</xdr:row>
                    <xdr:rowOff>69850</xdr:rowOff>
                  </to>
                </anchor>
              </controlPr>
            </control>
          </mc:Choice>
        </mc:AlternateContent>
        <mc:AlternateContent xmlns:mc="http://schemas.openxmlformats.org/markup-compatibility/2006">
          <mc:Choice Requires="x14">
            <control shapeId="5164" r:id="rId33" name="Check Box 44">
              <controlPr defaultSize="0" autoFill="0" autoLine="0" autoPict="0">
                <anchor moveWithCells="1">
                  <from>
                    <xdr:col>1</xdr:col>
                    <xdr:colOff>25400</xdr:colOff>
                    <xdr:row>16</xdr:row>
                    <xdr:rowOff>38100</xdr:rowOff>
                  </from>
                  <to>
                    <xdr:col>12</xdr:col>
                    <xdr:colOff>241300</xdr:colOff>
                    <xdr:row>17</xdr:row>
                    <xdr:rowOff>88900</xdr:rowOff>
                  </to>
                </anchor>
              </controlPr>
            </control>
          </mc:Choice>
        </mc:AlternateContent>
        <mc:AlternateContent xmlns:mc="http://schemas.openxmlformats.org/markup-compatibility/2006">
          <mc:Choice Requires="x14">
            <control shapeId="5165" r:id="rId34" name="Check Box 45">
              <controlPr defaultSize="0" autoFill="0" autoLine="0" autoPict="0">
                <anchor moveWithCells="1">
                  <from>
                    <xdr:col>1</xdr:col>
                    <xdr:colOff>25400</xdr:colOff>
                    <xdr:row>17</xdr:row>
                    <xdr:rowOff>107950</xdr:rowOff>
                  </from>
                  <to>
                    <xdr:col>12</xdr:col>
                    <xdr:colOff>31750</xdr:colOff>
                    <xdr:row>18</xdr:row>
                    <xdr:rowOff>152400</xdr:rowOff>
                  </to>
                </anchor>
              </controlPr>
            </control>
          </mc:Choice>
        </mc:AlternateContent>
        <mc:AlternateContent xmlns:mc="http://schemas.openxmlformats.org/markup-compatibility/2006">
          <mc:Choice Requires="x14">
            <control shapeId="5166" r:id="rId35" name="Check Box 46">
              <controlPr defaultSize="0" autoFill="0" autoLine="0" autoPict="0">
                <anchor moveWithCells="1">
                  <from>
                    <xdr:col>9</xdr:col>
                    <xdr:colOff>38100</xdr:colOff>
                    <xdr:row>16</xdr:row>
                    <xdr:rowOff>38100</xdr:rowOff>
                  </from>
                  <to>
                    <xdr:col>16</xdr:col>
                    <xdr:colOff>12700</xdr:colOff>
                    <xdr:row>17</xdr:row>
                    <xdr:rowOff>107950</xdr:rowOff>
                  </to>
                </anchor>
              </controlPr>
            </control>
          </mc:Choice>
        </mc:AlternateContent>
        <mc:AlternateContent xmlns:mc="http://schemas.openxmlformats.org/markup-compatibility/2006">
          <mc:Choice Requires="x14">
            <control shapeId="5167" r:id="rId36" name="Check Box 47">
              <controlPr defaultSize="0" autoFill="0" autoLine="0" autoPict="0">
                <anchor moveWithCells="1">
                  <from>
                    <xdr:col>9</xdr:col>
                    <xdr:colOff>38100</xdr:colOff>
                    <xdr:row>17</xdr:row>
                    <xdr:rowOff>114300</xdr:rowOff>
                  </from>
                  <to>
                    <xdr:col>15</xdr:col>
                    <xdr:colOff>152400</xdr:colOff>
                    <xdr:row>18</xdr:row>
                    <xdr:rowOff>133350</xdr:rowOff>
                  </to>
                </anchor>
              </controlPr>
            </control>
          </mc:Choice>
        </mc:AlternateContent>
        <mc:AlternateContent xmlns:mc="http://schemas.openxmlformats.org/markup-compatibility/2006">
          <mc:Choice Requires="x14">
            <control shapeId="5168" r:id="rId37" name="Check Box 48">
              <controlPr defaultSize="0" autoFill="0" autoLine="0" autoPict="0">
                <anchor moveWithCells="1">
                  <from>
                    <xdr:col>12</xdr:col>
                    <xdr:colOff>101600</xdr:colOff>
                    <xdr:row>62</xdr:row>
                    <xdr:rowOff>152400</xdr:rowOff>
                  </from>
                  <to>
                    <xdr:col>15</xdr:col>
                    <xdr:colOff>152400</xdr:colOff>
                    <xdr:row>63</xdr:row>
                    <xdr:rowOff>158750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r:uid="{736C6B0E-F81D-49EE-8848-81E1232FF589}">
          <x14:formula1>
            <xm:f>'Lista suspensa IA'!$A$2:$A$4</xm:f>
          </x14:formula1>
          <xm:sqref>B15:AT15</xm:sqref>
        </x14:dataValidation>
        <x14:dataValidation type="list" allowBlank="1" showInputMessage="1" showErrorMessage="1" xr:uid="{576EC8A0-0B52-4264-85B5-1F30AFE3F8F0}">
          <x14:formula1>
            <xm:f>'Lista suspensa IA'!$A$6:$A$7</xm:f>
          </x14:formula1>
          <xm:sqref>B34:AT34 B87:AT87 B89:AT89 B95:AT95 B97:AT97 B114:AT114 B116:AT116 B11:AT11</xm:sqref>
        </x14:dataValidation>
        <x14:dataValidation type="list" allowBlank="1" showInputMessage="1" showErrorMessage="1" xr:uid="{D2F40F08-B7B2-460B-97FC-B93C2FAEA410}">
          <x14:formula1>
            <xm:f>'Lista suspensa IA'!$A$9:$A$11</xm:f>
          </x14:formula1>
          <xm:sqref>B67:AT67 B69:AT69 B93:AT93 B43:AT43</xm:sqref>
        </x14:dataValidation>
        <x14:dataValidation type="list" allowBlank="1" showInputMessage="1" showErrorMessage="1" xr:uid="{9ED80B79-03D2-4F61-B009-17E68D03D621}">
          <x14:formula1>
            <xm:f>'Lista suspensa IA'!$A$13:$A$15</xm:f>
          </x14:formula1>
          <xm:sqref>B78:AT78 B91:AT91</xm:sqref>
        </x14:dataValidation>
        <x14:dataValidation type="list" allowBlank="1" showInputMessage="1" showErrorMessage="1" xr:uid="{224A3281-05ED-4674-B52C-3FBD622D9734}">
          <x14:formula1>
            <xm:f>'Lista suspensa IA'!$A$17:$A$20</xm:f>
          </x14:formula1>
          <xm:sqref>B50:AT50</xm:sqref>
        </x14:dataValidation>
        <x14:dataValidation type="list" allowBlank="1" showInputMessage="1" showErrorMessage="1" xr:uid="{4CEA1750-7DE1-495E-8B18-193FF27AA056}">
          <x14:formula1>
            <xm:f>'Lista suspensa IA'!$A$22:$A$25</xm:f>
          </x14:formula1>
          <xm:sqref>B52:AT52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85AF-27F2-4C6A-8262-C31FA390F571}">
  <dimension ref="A2:A25"/>
  <sheetViews>
    <sheetView workbookViewId="0">
      <selection activeCell="A28" sqref="A28"/>
    </sheetView>
  </sheetViews>
  <sheetFormatPr defaultColWidth="8.7109375" defaultRowHeight="14.45"/>
  <cols>
    <col min="1" max="1" width="86.42578125" style="9" customWidth="1"/>
    <col min="2" max="16384" width="8.7109375" style="9"/>
  </cols>
  <sheetData>
    <row r="2" spans="1:1">
      <c r="A2" s="9" t="s">
        <v>119</v>
      </c>
    </row>
    <row r="3" spans="1:1">
      <c r="A3" s="9" t="s">
        <v>120</v>
      </c>
    </row>
    <row r="4" spans="1:1">
      <c r="A4" s="9" t="s">
        <v>121</v>
      </c>
    </row>
    <row r="6" spans="1:1">
      <c r="A6" s="9" t="s">
        <v>75</v>
      </c>
    </row>
    <row r="7" spans="1:1">
      <c r="A7" s="9" t="s">
        <v>76</v>
      </c>
    </row>
    <row r="9" spans="1:1">
      <c r="A9" s="9" t="s">
        <v>75</v>
      </c>
    </row>
    <row r="10" spans="1:1">
      <c r="A10" s="9" t="s">
        <v>76</v>
      </c>
    </row>
    <row r="11" spans="1:1">
      <c r="A11" s="9" t="s">
        <v>122</v>
      </c>
    </row>
    <row r="13" spans="1:1">
      <c r="A13" s="9" t="s">
        <v>75</v>
      </c>
    </row>
    <row r="14" spans="1:1">
      <c r="A14" s="9" t="s">
        <v>76</v>
      </c>
    </row>
    <row r="15" spans="1:1">
      <c r="A15" s="9" t="s">
        <v>123</v>
      </c>
    </row>
    <row r="17" spans="1:1">
      <c r="A17" s="9" t="s">
        <v>75</v>
      </c>
    </row>
    <row r="18" spans="1:1">
      <c r="A18" s="9" t="s">
        <v>76</v>
      </c>
    </row>
    <row r="19" spans="1:1">
      <c r="A19" s="9" t="s">
        <v>123</v>
      </c>
    </row>
    <row r="20" spans="1:1">
      <c r="A20" s="9" t="s">
        <v>122</v>
      </c>
    </row>
    <row r="22" spans="1:1">
      <c r="A22" s="9" t="s">
        <v>75</v>
      </c>
    </row>
    <row r="23" spans="1:1">
      <c r="A23" s="9" t="s">
        <v>76</v>
      </c>
    </row>
    <row r="24" spans="1:1">
      <c r="A24" s="9" t="s">
        <v>123</v>
      </c>
    </row>
    <row r="25" spans="1:1">
      <c r="A25" s="9" t="s">
        <v>124</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6373-4286-4A72-8F5F-2BAFBBA1DCAA}">
  <dimension ref="B1:AS37"/>
  <sheetViews>
    <sheetView showGridLines="0" tabSelected="1" zoomScaleNormal="100" workbookViewId="0">
      <selection activeCell="Q8" sqref="Q8"/>
    </sheetView>
  </sheetViews>
  <sheetFormatPr defaultColWidth="9.140625" defaultRowHeight="14.45"/>
  <cols>
    <col min="1" max="1" width="2.140625" customWidth="1"/>
    <col min="2" max="2" width="5.28515625" customWidth="1"/>
    <col min="3" max="3" width="14.140625" customWidth="1"/>
    <col min="4" max="14" width="5.28515625" customWidth="1"/>
    <col min="15" max="15" width="11.140625" customWidth="1"/>
    <col min="16" max="16" width="21.140625" bestFit="1" customWidth="1"/>
    <col min="17" max="17" width="10.5703125" customWidth="1"/>
    <col min="18" max="45" width="5.28515625" customWidth="1"/>
  </cols>
  <sheetData>
    <row r="1" spans="2:45" ht="8.25" customHeight="1"/>
    <row r="2" spans="2:45" ht="21.95" customHeight="1">
      <c r="B2" s="31" t="s">
        <v>18</v>
      </c>
      <c r="C2" s="31"/>
      <c r="D2" s="32"/>
      <c r="E2" s="27" t="s">
        <v>1</v>
      </c>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1"/>
      <c r="AS2" s="1"/>
    </row>
    <row r="3" spans="2:45" ht="21.95" customHeight="1">
      <c r="B3" s="31"/>
      <c r="C3" s="31"/>
      <c r="D3" s="32"/>
      <c r="E3" s="29" t="s">
        <v>2</v>
      </c>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2"/>
      <c r="AS3" s="2"/>
    </row>
    <row r="4" spans="2:45" ht="5.0999999999999996" customHeight="1" thickBot="1">
      <c r="B4" s="3"/>
      <c r="C4" s="4"/>
      <c r="D4" s="5"/>
      <c r="E4" s="5"/>
      <c r="F4" s="5"/>
      <c r="G4" s="5"/>
      <c r="H4" s="5"/>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row>
    <row r="5" spans="2:45" ht="5.0999999999999996" customHeight="1" thickTop="1"/>
    <row r="6" spans="2:45" ht="5.45" customHeight="1"/>
    <row r="7" spans="2:45" s="9" customFormat="1" ht="29.1">
      <c r="B7" s="125" t="s">
        <v>125</v>
      </c>
      <c r="C7" s="125"/>
      <c r="D7" s="125"/>
      <c r="E7" s="125"/>
      <c r="F7" s="125"/>
      <c r="G7" s="125"/>
      <c r="H7" s="125"/>
      <c r="I7" s="125"/>
      <c r="J7" s="125"/>
      <c r="K7" s="125"/>
      <c r="L7" s="125"/>
      <c r="M7" s="125"/>
      <c r="N7" s="125"/>
      <c r="O7" s="14" t="s">
        <v>126</v>
      </c>
      <c r="P7" s="13" t="s">
        <v>127</v>
      </c>
      <c r="Q7" s="14" t="s">
        <v>128</v>
      </c>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row>
    <row r="8" spans="2:45" s="9" customFormat="1" ht="50.1" customHeight="1">
      <c r="B8" s="16">
        <v>1</v>
      </c>
      <c r="C8" s="135" t="s">
        <v>129</v>
      </c>
      <c r="D8" s="135"/>
      <c r="E8" s="135"/>
      <c r="F8" s="135"/>
      <c r="G8" s="135"/>
      <c r="H8" s="135"/>
      <c r="I8" s="135"/>
      <c r="J8" s="135"/>
      <c r="K8" s="135"/>
      <c r="L8" s="135"/>
      <c r="M8" s="135"/>
      <c r="N8" s="135"/>
      <c r="O8" s="17" t="s">
        <v>75</v>
      </c>
      <c r="P8" s="17"/>
      <c r="Q8" s="17" t="s">
        <v>75</v>
      </c>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spans="2:45" s="9" customFormat="1" ht="297.95" customHeight="1">
      <c r="B9" s="16">
        <v>2</v>
      </c>
      <c r="C9" s="136" t="s">
        <v>130</v>
      </c>
      <c r="D9" s="136"/>
      <c r="E9" s="136"/>
      <c r="F9" s="136"/>
      <c r="G9" s="136"/>
      <c r="H9" s="136"/>
      <c r="I9" s="136"/>
      <c r="J9" s="136"/>
      <c r="K9" s="136"/>
      <c r="L9" s="136"/>
      <c r="M9" s="136"/>
      <c r="N9" s="136"/>
      <c r="O9" s="17"/>
      <c r="P9" s="17"/>
      <c r="Q9" s="17"/>
    </row>
    <row r="10" spans="2:45" s="9" customFormat="1" ht="179.45" customHeight="1">
      <c r="B10" s="16">
        <v>3</v>
      </c>
      <c r="C10" s="137" t="s">
        <v>131</v>
      </c>
      <c r="D10" s="137"/>
      <c r="E10" s="137"/>
      <c r="F10" s="137"/>
      <c r="G10" s="137"/>
      <c r="H10" s="137"/>
      <c r="I10" s="137"/>
      <c r="J10" s="137"/>
      <c r="K10" s="137"/>
      <c r="L10" s="137"/>
      <c r="M10" s="137"/>
      <c r="N10" s="137"/>
      <c r="O10" s="17"/>
      <c r="P10" s="17"/>
      <c r="Q10" s="17"/>
    </row>
    <row r="11" spans="2:45" s="9" customFormat="1" ht="50.1" customHeight="1">
      <c r="B11" s="16">
        <v>4</v>
      </c>
      <c r="C11" s="138" t="s">
        <v>132</v>
      </c>
      <c r="D11" s="138"/>
      <c r="E11" s="138"/>
      <c r="F11" s="138"/>
      <c r="G11" s="138"/>
      <c r="H11" s="138"/>
      <c r="I11" s="138"/>
      <c r="J11" s="138"/>
      <c r="K11" s="138"/>
      <c r="L11" s="138"/>
      <c r="M11" s="138"/>
      <c r="N11" s="138"/>
      <c r="O11" s="17"/>
      <c r="P11" s="17"/>
      <c r="Q11" s="17"/>
    </row>
    <row r="12" spans="2:45" s="9" customFormat="1" ht="50.1" customHeight="1">
      <c r="B12" s="16">
        <v>5</v>
      </c>
      <c r="C12" s="138" t="s">
        <v>133</v>
      </c>
      <c r="D12" s="138"/>
      <c r="E12" s="138"/>
      <c r="F12" s="138"/>
      <c r="G12" s="138"/>
      <c r="H12" s="138"/>
      <c r="I12" s="138"/>
      <c r="J12" s="138"/>
      <c r="K12" s="138"/>
      <c r="L12" s="138"/>
      <c r="M12" s="138"/>
      <c r="N12" s="138"/>
      <c r="O12" s="17"/>
      <c r="P12" s="17"/>
      <c r="Q12" s="17"/>
    </row>
    <row r="13" spans="2:45" s="9" customFormat="1" ht="50.1" customHeight="1">
      <c r="B13" s="16">
        <v>6</v>
      </c>
      <c r="C13" s="138" t="s">
        <v>134</v>
      </c>
      <c r="D13" s="138"/>
      <c r="E13" s="138"/>
      <c r="F13" s="138"/>
      <c r="G13" s="138"/>
      <c r="H13" s="138"/>
      <c r="I13" s="138"/>
      <c r="J13" s="138"/>
      <c r="K13" s="138"/>
      <c r="L13" s="138"/>
      <c r="M13" s="138"/>
      <c r="N13" s="138"/>
      <c r="O13" s="17"/>
      <c r="P13" s="17"/>
      <c r="Q13" s="17"/>
    </row>
    <row r="14" spans="2:45" s="9" customFormat="1" ht="50.1" customHeight="1">
      <c r="B14" s="16">
        <v>7</v>
      </c>
      <c r="C14" s="138" t="s">
        <v>135</v>
      </c>
      <c r="D14" s="138"/>
      <c r="E14" s="138"/>
      <c r="F14" s="138"/>
      <c r="G14" s="138"/>
      <c r="H14" s="138"/>
      <c r="I14" s="138"/>
      <c r="J14" s="138"/>
      <c r="K14" s="138"/>
      <c r="L14" s="138"/>
      <c r="M14" s="138"/>
      <c r="N14" s="138"/>
      <c r="O14" s="17"/>
      <c r="P14" s="17"/>
      <c r="Q14" s="17"/>
    </row>
    <row r="15" spans="2:45" s="9" customFormat="1" ht="50.1" customHeight="1">
      <c r="B15" s="16">
        <v>8</v>
      </c>
      <c r="C15" s="138" t="s">
        <v>136</v>
      </c>
      <c r="D15" s="138"/>
      <c r="E15" s="138"/>
      <c r="F15" s="138"/>
      <c r="G15" s="138"/>
      <c r="H15" s="138"/>
      <c r="I15" s="138"/>
      <c r="J15" s="138"/>
      <c r="K15" s="138"/>
      <c r="L15" s="138"/>
      <c r="M15" s="138"/>
      <c r="N15" s="138"/>
      <c r="O15" s="17"/>
      <c r="P15" s="17"/>
      <c r="Q15" s="17"/>
    </row>
    <row r="16" spans="2:45" s="9" customFormat="1" ht="50.1" customHeight="1">
      <c r="B16" s="16">
        <v>9</v>
      </c>
      <c r="C16" s="138" t="s">
        <v>137</v>
      </c>
      <c r="D16" s="138"/>
      <c r="E16" s="138"/>
      <c r="F16" s="138"/>
      <c r="G16" s="138"/>
      <c r="H16" s="138"/>
      <c r="I16" s="138"/>
      <c r="J16" s="138"/>
      <c r="K16" s="138"/>
      <c r="L16" s="138"/>
      <c r="M16" s="138"/>
      <c r="N16" s="138"/>
      <c r="O16" s="17"/>
      <c r="P16" s="17"/>
      <c r="Q16" s="17"/>
    </row>
    <row r="17" spans="2:17" s="9" customFormat="1" ht="50.1" customHeight="1">
      <c r="B17" s="16">
        <v>10</v>
      </c>
      <c r="C17" s="138" t="s">
        <v>138</v>
      </c>
      <c r="D17" s="138"/>
      <c r="E17" s="138"/>
      <c r="F17" s="138"/>
      <c r="G17" s="138"/>
      <c r="H17" s="138"/>
      <c r="I17" s="138"/>
      <c r="J17" s="138"/>
      <c r="K17" s="138"/>
      <c r="L17" s="138"/>
      <c r="M17" s="138"/>
      <c r="N17" s="138"/>
      <c r="O17" s="17"/>
      <c r="P17" s="17"/>
      <c r="Q17" s="17"/>
    </row>
    <row r="18" spans="2:17" s="9" customFormat="1" ht="50.1" customHeight="1">
      <c r="B18" s="16">
        <v>11</v>
      </c>
      <c r="C18" s="138" t="s">
        <v>139</v>
      </c>
      <c r="D18" s="138"/>
      <c r="E18" s="138"/>
      <c r="F18" s="138"/>
      <c r="G18" s="138"/>
      <c r="H18" s="138"/>
      <c r="I18" s="138"/>
      <c r="J18" s="138"/>
      <c r="K18" s="138"/>
      <c r="L18" s="138"/>
      <c r="M18" s="138"/>
      <c r="N18" s="138"/>
      <c r="O18" s="17"/>
      <c r="P18" s="17"/>
      <c r="Q18" s="17"/>
    </row>
    <row r="19" spans="2:17" s="9" customFormat="1" ht="50.1" customHeight="1">
      <c r="B19" s="16">
        <v>12</v>
      </c>
      <c r="C19" s="138" t="s">
        <v>140</v>
      </c>
      <c r="D19" s="138"/>
      <c r="E19" s="138"/>
      <c r="F19" s="138"/>
      <c r="G19" s="138"/>
      <c r="H19" s="138"/>
      <c r="I19" s="138"/>
      <c r="J19" s="138"/>
      <c r="K19" s="138"/>
      <c r="L19" s="138"/>
      <c r="M19" s="138"/>
      <c r="N19" s="138"/>
      <c r="O19" s="17"/>
      <c r="P19" s="17"/>
      <c r="Q19" s="17"/>
    </row>
    <row r="20" spans="2:17" s="9" customFormat="1" ht="50.1" customHeight="1">
      <c r="B20" s="16">
        <v>13</v>
      </c>
      <c r="C20" s="138" t="s">
        <v>141</v>
      </c>
      <c r="D20" s="138"/>
      <c r="E20" s="138"/>
      <c r="F20" s="138"/>
      <c r="G20" s="138"/>
      <c r="H20" s="138"/>
      <c r="I20" s="138"/>
      <c r="J20" s="138"/>
      <c r="K20" s="138"/>
      <c r="L20" s="138"/>
      <c r="M20" s="138"/>
      <c r="N20" s="138"/>
      <c r="O20" s="17"/>
      <c r="P20" s="17"/>
      <c r="Q20" s="17"/>
    </row>
    <row r="21" spans="2:17" s="9" customFormat="1" ht="50.1" customHeight="1">
      <c r="B21" s="16">
        <v>14</v>
      </c>
      <c r="C21" s="138" t="s">
        <v>142</v>
      </c>
      <c r="D21" s="138"/>
      <c r="E21" s="138"/>
      <c r="F21" s="138"/>
      <c r="G21" s="138"/>
      <c r="H21" s="138"/>
      <c r="I21" s="138"/>
      <c r="J21" s="138"/>
      <c r="K21" s="138"/>
      <c r="L21" s="138"/>
      <c r="M21" s="138"/>
      <c r="N21" s="138"/>
      <c r="O21" s="17"/>
      <c r="P21" s="17"/>
      <c r="Q21" s="17"/>
    </row>
    <row r="22" spans="2:17" s="9" customFormat="1" ht="50.1" customHeight="1">
      <c r="B22" s="16">
        <v>15</v>
      </c>
      <c r="C22" s="138" t="s">
        <v>143</v>
      </c>
      <c r="D22" s="138"/>
      <c r="E22" s="138"/>
      <c r="F22" s="138"/>
      <c r="G22" s="138"/>
      <c r="H22" s="138"/>
      <c r="I22" s="138"/>
      <c r="J22" s="138"/>
      <c r="K22" s="138"/>
      <c r="L22" s="138"/>
      <c r="M22" s="138"/>
      <c r="N22" s="138"/>
      <c r="O22" s="17"/>
      <c r="P22" s="17"/>
      <c r="Q22" s="17"/>
    </row>
    <row r="23" spans="2:17" s="9" customFormat="1"/>
    <row r="24" spans="2:17" s="9" customFormat="1" ht="14.45" customHeight="1">
      <c r="B24" s="126" t="s">
        <v>144</v>
      </c>
      <c r="C24" s="127"/>
      <c r="D24" s="127"/>
      <c r="E24" s="127"/>
      <c r="F24" s="127"/>
      <c r="G24" s="127"/>
      <c r="H24" s="127"/>
      <c r="I24" s="127"/>
      <c r="J24" s="127"/>
      <c r="K24" s="127"/>
      <c r="L24" s="127"/>
      <c r="M24" s="127"/>
      <c r="N24" s="127"/>
      <c r="O24" s="127"/>
      <c r="P24" s="127"/>
      <c r="Q24" s="128"/>
    </row>
    <row r="25" spans="2:17" s="9" customFormat="1">
      <c r="B25" s="129"/>
      <c r="C25" s="130"/>
      <c r="D25" s="130"/>
      <c r="E25" s="130"/>
      <c r="F25" s="130"/>
      <c r="G25" s="130"/>
      <c r="H25" s="130"/>
      <c r="I25" s="130"/>
      <c r="J25" s="130"/>
      <c r="K25" s="130"/>
      <c r="L25" s="130"/>
      <c r="M25" s="130"/>
      <c r="N25" s="130"/>
      <c r="O25" s="130"/>
      <c r="P25" s="130"/>
      <c r="Q25" s="131"/>
    </row>
    <row r="26" spans="2:17" s="9" customFormat="1">
      <c r="B26" s="129"/>
      <c r="C26" s="130"/>
      <c r="D26" s="130"/>
      <c r="E26" s="130"/>
      <c r="F26" s="130"/>
      <c r="G26" s="130"/>
      <c r="H26" s="130"/>
      <c r="I26" s="130"/>
      <c r="J26" s="130"/>
      <c r="K26" s="130"/>
      <c r="L26" s="130"/>
      <c r="M26" s="130"/>
      <c r="N26" s="130"/>
      <c r="O26" s="130"/>
      <c r="P26" s="130"/>
      <c r="Q26" s="131"/>
    </row>
    <row r="27" spans="2:17" s="9" customFormat="1">
      <c r="B27" s="129"/>
      <c r="C27" s="130"/>
      <c r="D27" s="130"/>
      <c r="E27" s="130"/>
      <c r="F27" s="130"/>
      <c r="G27" s="130"/>
      <c r="H27" s="130"/>
      <c r="I27" s="130"/>
      <c r="J27" s="130"/>
      <c r="K27" s="130"/>
      <c r="L27" s="130"/>
      <c r="M27" s="130"/>
      <c r="N27" s="130"/>
      <c r="O27" s="130"/>
      <c r="P27" s="130"/>
      <c r="Q27" s="131"/>
    </row>
    <row r="28" spans="2:17" s="9" customFormat="1">
      <c r="B28" s="129"/>
      <c r="C28" s="130"/>
      <c r="D28" s="130"/>
      <c r="E28" s="130"/>
      <c r="F28" s="130"/>
      <c r="G28" s="130"/>
      <c r="H28" s="130"/>
      <c r="I28" s="130"/>
      <c r="J28" s="130"/>
      <c r="K28" s="130"/>
      <c r="L28" s="130"/>
      <c r="M28" s="130"/>
      <c r="N28" s="130"/>
      <c r="O28" s="130"/>
      <c r="P28" s="130"/>
      <c r="Q28" s="131"/>
    </row>
    <row r="29" spans="2:17" s="9" customFormat="1">
      <c r="B29" s="129"/>
      <c r="C29" s="130"/>
      <c r="D29" s="130"/>
      <c r="E29" s="130"/>
      <c r="F29" s="130"/>
      <c r="G29" s="130"/>
      <c r="H29" s="130"/>
      <c r="I29" s="130"/>
      <c r="J29" s="130"/>
      <c r="K29" s="130"/>
      <c r="L29" s="130"/>
      <c r="M29" s="130"/>
      <c r="N29" s="130"/>
      <c r="O29" s="130"/>
      <c r="P29" s="130"/>
      <c r="Q29" s="131"/>
    </row>
    <row r="30" spans="2:17" s="9" customFormat="1">
      <c r="B30" s="129"/>
      <c r="C30" s="130"/>
      <c r="D30" s="130"/>
      <c r="E30" s="130"/>
      <c r="F30" s="130"/>
      <c r="G30" s="130"/>
      <c r="H30" s="130"/>
      <c r="I30" s="130"/>
      <c r="J30" s="130"/>
      <c r="K30" s="130"/>
      <c r="L30" s="130"/>
      <c r="M30" s="130"/>
      <c r="N30" s="130"/>
      <c r="O30" s="130"/>
      <c r="P30" s="130"/>
      <c r="Q30" s="131"/>
    </row>
    <row r="31" spans="2:17" s="9" customFormat="1">
      <c r="B31" s="129"/>
      <c r="C31" s="130"/>
      <c r="D31" s="130"/>
      <c r="E31" s="130"/>
      <c r="F31" s="130"/>
      <c r="G31" s="130"/>
      <c r="H31" s="130"/>
      <c r="I31" s="130"/>
      <c r="J31" s="130"/>
      <c r="K31" s="130"/>
      <c r="L31" s="130"/>
      <c r="M31" s="130"/>
      <c r="N31" s="130"/>
      <c r="O31" s="130"/>
      <c r="P31" s="130"/>
      <c r="Q31" s="131"/>
    </row>
    <row r="32" spans="2:17" s="9" customFormat="1">
      <c r="B32" s="129"/>
      <c r="C32" s="130"/>
      <c r="D32" s="130"/>
      <c r="E32" s="130"/>
      <c r="F32" s="130"/>
      <c r="G32" s="130"/>
      <c r="H32" s="130"/>
      <c r="I32" s="130"/>
      <c r="J32" s="130"/>
      <c r="K32" s="130"/>
      <c r="L32" s="130"/>
      <c r="M32" s="130"/>
      <c r="N32" s="130"/>
      <c r="O32" s="130"/>
      <c r="P32" s="130"/>
      <c r="Q32" s="131"/>
    </row>
    <row r="33" spans="2:17" s="9" customFormat="1">
      <c r="B33" s="129"/>
      <c r="C33" s="130"/>
      <c r="D33" s="130"/>
      <c r="E33" s="130"/>
      <c r="F33" s="130"/>
      <c r="G33" s="130"/>
      <c r="H33" s="130"/>
      <c r="I33" s="130"/>
      <c r="J33" s="130"/>
      <c r="K33" s="130"/>
      <c r="L33" s="130"/>
      <c r="M33" s="130"/>
      <c r="N33" s="130"/>
      <c r="O33" s="130"/>
      <c r="P33" s="130"/>
      <c r="Q33" s="131"/>
    </row>
    <row r="34" spans="2:17" s="9" customFormat="1">
      <c r="B34" s="129"/>
      <c r="C34" s="130"/>
      <c r="D34" s="130"/>
      <c r="E34" s="130"/>
      <c r="F34" s="130"/>
      <c r="G34" s="130"/>
      <c r="H34" s="130"/>
      <c r="I34" s="130"/>
      <c r="J34" s="130"/>
      <c r="K34" s="130"/>
      <c r="L34" s="130"/>
      <c r="M34" s="130"/>
      <c r="N34" s="130"/>
      <c r="O34" s="130"/>
      <c r="P34" s="130"/>
      <c r="Q34" s="131"/>
    </row>
    <row r="35" spans="2:17" s="9" customFormat="1">
      <c r="B35" s="129"/>
      <c r="C35" s="130"/>
      <c r="D35" s="130"/>
      <c r="E35" s="130"/>
      <c r="F35" s="130"/>
      <c r="G35" s="130"/>
      <c r="H35" s="130"/>
      <c r="I35" s="130"/>
      <c r="J35" s="130"/>
      <c r="K35" s="130"/>
      <c r="L35" s="130"/>
      <c r="M35" s="130"/>
      <c r="N35" s="130"/>
      <c r="O35" s="130"/>
      <c r="P35" s="130"/>
      <c r="Q35" s="131"/>
    </row>
    <row r="36" spans="2:17" s="9" customFormat="1">
      <c r="B36" s="129"/>
      <c r="C36" s="130"/>
      <c r="D36" s="130"/>
      <c r="E36" s="130"/>
      <c r="F36" s="130"/>
      <c r="G36" s="130"/>
      <c r="H36" s="130"/>
      <c r="I36" s="130"/>
      <c r="J36" s="130"/>
      <c r="K36" s="130"/>
      <c r="L36" s="130"/>
      <c r="M36" s="130"/>
      <c r="N36" s="130"/>
      <c r="O36" s="130"/>
      <c r="P36" s="130"/>
      <c r="Q36" s="131"/>
    </row>
    <row r="37" spans="2:17" s="9" customFormat="1">
      <c r="B37" s="132"/>
      <c r="C37" s="133"/>
      <c r="D37" s="133"/>
      <c r="E37" s="133"/>
      <c r="F37" s="133"/>
      <c r="G37" s="133"/>
      <c r="H37" s="133"/>
      <c r="I37" s="133"/>
      <c r="J37" s="133"/>
      <c r="K37" s="133"/>
      <c r="L37" s="133"/>
      <c r="M37" s="133"/>
      <c r="N37" s="133"/>
      <c r="O37" s="133"/>
      <c r="P37" s="133"/>
      <c r="Q37" s="134"/>
    </row>
  </sheetData>
  <mergeCells count="20">
    <mergeCell ref="C19:N19"/>
    <mergeCell ref="C20:N20"/>
    <mergeCell ref="C21:N21"/>
    <mergeCell ref="C22:N22"/>
    <mergeCell ref="B2:D3"/>
    <mergeCell ref="E2:AQ2"/>
    <mergeCell ref="E3:AQ3"/>
    <mergeCell ref="B7:N7"/>
    <mergeCell ref="B24:Q37"/>
    <mergeCell ref="C8:N8"/>
    <mergeCell ref="C9:N9"/>
    <mergeCell ref="C10:N10"/>
    <mergeCell ref="C11:N11"/>
    <mergeCell ref="C12:N12"/>
    <mergeCell ref="C13:N13"/>
    <mergeCell ref="C14:N14"/>
    <mergeCell ref="C15:N15"/>
    <mergeCell ref="C16:N16"/>
    <mergeCell ref="C17:N17"/>
    <mergeCell ref="C18:N18"/>
  </mergeCells>
  <dataValidations count="2">
    <dataValidation type="list" allowBlank="1" errorTitle="Entrada Inválida" error="Selecione uma opção válida" promptTitle="Resposta" prompt="Selecione: Sim, Não, Parcial ou N/A" sqref="O8:O22" xr:uid="{18E769C1-BB53-4B73-B472-642C14D4DB72}">
      <formula1>"Sim,Não,Parcial"</formula1>
    </dataValidation>
    <dataValidation type="list" allowBlank="1" errorTitle="Entrada Inválida" error="Selecione uma opção válida" promptTitle="Resposta" prompt="Selecione: Sim, Não, Parcial ou N/A" sqref="Q8:Q22" xr:uid="{D2ED1474-8D21-4736-B2BB-20DDD5F0F842}">
      <formula1>"Sim,Não"</formula1>
    </dataValidation>
  </dataValidations>
  <pageMargins left="0.511811024" right="0.511811024" top="0.78740157499999996" bottom="0.78740157499999996" header="0.31496062000000002" footer="0.31496062000000002"/>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65420F877CCA94DBC28EF103CBB0B06" ma:contentTypeVersion="14" ma:contentTypeDescription="Crie um novo documento." ma:contentTypeScope="" ma:versionID="c9c4ad336f76d91f5e684cc5b0cc10a4">
  <xsd:schema xmlns:xsd="http://www.w3.org/2001/XMLSchema" xmlns:xs="http://www.w3.org/2001/XMLSchema" xmlns:p="http://schemas.microsoft.com/office/2006/metadata/properties" xmlns:ns2="4b1675f7-cd09-4d86-b682-7154881cba7d" xmlns:ns3="a3851d45-494e-4f23-bca9-76d2449fae64" targetNamespace="http://schemas.microsoft.com/office/2006/metadata/properties" ma:root="true" ma:fieldsID="584292b2c666adf44893880056180fd2" ns2:_="" ns3:_="">
    <xsd:import namespace="4b1675f7-cd09-4d86-b682-7154881cba7d"/>
    <xsd:import namespace="a3851d45-494e-4f23-bca9-76d2449fae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1675f7-cd09-4d86-b682-7154881cba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827f4c06-fe5a-4e0a-80b7-1e1ac813472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851d45-494e-4f23-bca9-76d2449fae6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dc60b37-2020-430f-866e-63ff4d14307a}" ma:internalName="TaxCatchAll" ma:showField="CatchAllData" ma:web="a3851d45-494e-4f23-bca9-76d2449fae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3851d45-494e-4f23-bca9-76d2449fae64" xsi:nil="true"/>
    <lcf76f155ced4ddcb4097134ff3c332f xmlns="4b1675f7-cd09-4d86-b682-7154881cba7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740912-6426-40CD-8A6F-1B3173CD41B4}"/>
</file>

<file path=customXml/itemProps2.xml><?xml version="1.0" encoding="utf-8"?>
<ds:datastoreItem xmlns:ds="http://schemas.openxmlformats.org/officeDocument/2006/customXml" ds:itemID="{9F8BB44E-DA47-41D3-9680-77D5C925DB71}"/>
</file>

<file path=customXml/itemProps3.xml><?xml version="1.0" encoding="utf-8"?>
<ds:datastoreItem xmlns:ds="http://schemas.openxmlformats.org/officeDocument/2006/customXml" ds:itemID="{30667123-937A-4972-84D5-C5FA01B27A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Priscila Carolline Melo Gardonio</dc:creator>
  <cp:keywords/>
  <dc:description/>
  <cp:lastModifiedBy>CELSO DE ALMEIDA POLVORA JUNIOR</cp:lastModifiedBy>
  <cp:revision/>
  <dcterms:created xsi:type="dcterms:W3CDTF">2023-01-23T22:09:14Z</dcterms:created>
  <dcterms:modified xsi:type="dcterms:W3CDTF">2026-04-24T15:42:31Z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ed712-6a61-434d-98dd-817fef2dcd2d_Enabled">
    <vt:lpwstr>true</vt:lpwstr>
  </property>
  <property fmtid="{D5CDD505-2E9C-101B-9397-08002B2CF9AE}" pid="3" name="MSIP_Label_befed712-6a61-434d-98dd-817fef2dcd2d_SetDate">
    <vt:lpwstr>2026-03-24T13:42:50Z</vt:lpwstr>
  </property>
  <property fmtid="{D5CDD505-2E9C-101B-9397-08002B2CF9AE}" pid="4" name="MSIP_Label_befed712-6a61-434d-98dd-817fef2dcd2d_Method">
    <vt:lpwstr>Privileged</vt:lpwstr>
  </property>
  <property fmtid="{D5CDD505-2E9C-101B-9397-08002B2CF9AE}" pid="5" name="MSIP_Label_befed712-6a61-434d-98dd-817fef2dcd2d_Name">
    <vt:lpwstr>Público</vt:lpwstr>
  </property>
  <property fmtid="{D5CDD505-2E9C-101B-9397-08002B2CF9AE}" pid="6" name="MSIP_Label_befed712-6a61-434d-98dd-817fef2dcd2d_SiteId">
    <vt:lpwstr>8665fa6d-c0a7-4f90-baba-9a3573b246a7</vt:lpwstr>
  </property>
  <property fmtid="{D5CDD505-2E9C-101B-9397-08002B2CF9AE}" pid="7" name="MSIP_Label_befed712-6a61-434d-98dd-817fef2dcd2d_ActionId">
    <vt:lpwstr>897ddf03-a3b5-4655-94c6-90db47af852d</vt:lpwstr>
  </property>
  <property fmtid="{D5CDD505-2E9C-101B-9397-08002B2CF9AE}" pid="8" name="MSIP_Label_befed712-6a61-434d-98dd-817fef2dcd2d_ContentBits">
    <vt:lpwstr>0</vt:lpwstr>
  </property>
  <property fmtid="{D5CDD505-2E9C-101B-9397-08002B2CF9AE}" pid="9" name="MSIP_Label_befed712-6a61-434d-98dd-817fef2dcd2d_Tag">
    <vt:lpwstr>10, 0, 1, 1</vt:lpwstr>
  </property>
  <property fmtid="{D5CDD505-2E9C-101B-9397-08002B2CF9AE}" pid="10" name="ContentTypeId">
    <vt:lpwstr>0x010100765420F877CCA94DBC28EF103CBB0B06</vt:lpwstr>
  </property>
  <property fmtid="{D5CDD505-2E9C-101B-9397-08002B2CF9AE}" pid="11" name="MediaServiceImageTags">
    <vt:lpwstr/>
  </property>
</Properties>
</file>