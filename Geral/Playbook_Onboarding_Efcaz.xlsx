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" sheetId="1" state="visible" r:id="rId1"/>
  </sheets>
  <definedNames>
    <definedName name="_xlnm.Print_Titles" localSheetId="0">'Onboarding'!$1:$7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Calibri"/>
      <i val="1"/>
      <color rgb="00FFFFFF"/>
      <sz val="9"/>
    </font>
    <font>
      <name val="Calibri"/>
      <b val="1"/>
      <color rgb="00FFFFFF"/>
      <sz val="15"/>
    </font>
    <font>
      <name val="Calibri"/>
      <b val="1"/>
      <color rgb="000A6A7A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sz val="10"/>
    </font>
    <font>
      <name val="Calibri"/>
      <color rgb="007F8C8D"/>
      <sz val="9"/>
    </font>
    <font>
      <name val="Calibri"/>
      <b val="1"/>
      <color rgb="000E8FA3"/>
      <sz val="18"/>
    </font>
  </fonts>
  <fills count="8">
    <fill>
      <patternFill/>
    </fill>
    <fill>
      <patternFill patternType="gray125"/>
    </fill>
    <fill>
      <patternFill patternType="solid">
        <fgColor rgb="000A6A7A"/>
      </patternFill>
    </fill>
    <fill>
      <patternFill patternType="solid">
        <fgColor rgb="000E8FA3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E0F4F7"/>
      </patternFill>
    </fill>
  </fills>
  <borders count="7">
    <border>
      <left/>
      <right/>
      <top/>
      <bottom/>
      <diagonal/>
    </border>
    <border>
      <left style="thin">
        <color rgb="000A6A7A"/>
      </left>
      <right style="dashed">
        <color rgb="00FFFFFF"/>
      </right>
      <top style="thin">
        <color rgb="000A6A7A"/>
      </top>
      <bottom style="thin">
        <color rgb="000A6A7A"/>
      </bottom>
    </border>
    <border/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/>
      <top/>
      <bottom/>
      <diagonal/>
    </border>
    <border>
      <left style="thin">
        <color rgb="00D5D8DC"/>
      </left>
      <right style="thin">
        <color rgb="00D5D8DC"/>
      </right>
      <top/>
      <bottom/>
      <diagonal/>
    </border>
    <border>
      <left style="thin">
        <color rgb="00D5D8DC"/>
      </left>
      <right style="thin">
        <color rgb="00D5D8DC"/>
      </right>
      <top/>
      <bottom style="thin">
        <color rgb="00D5D8D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7" borderId="2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9" fontId="9" fillId="4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164" fontId="4" fillId="2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9" fontId="5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0" fillId="0" borderId="5" pivotButton="0" quotePrefix="0" xfId="0"/>
    <xf numFmtId="0" fontId="7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center" vertical="center"/>
    </xf>
    <xf numFmtId="164" fontId="7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/>
    </xf>
    <xf numFmtId="164" fontId="7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0" fillId="0" borderId="6" pivotButton="0" quotePrefix="0" xfId="0"/>
  </cellXfs>
  <cellStyles count="1">
    <cellStyle name="Normal" xfId="0" builtinId="0" hidden="0"/>
  </cellStyles>
  <dxfs count="3">
    <dxf>
      <font>
        <name val="Calibri"/>
        <color rgb="001E8449"/>
        <sz val="10"/>
      </font>
      <fill>
        <patternFill patternType="solid">
          <fgColor rgb="00D5F5E3"/>
        </patternFill>
      </fill>
    </dxf>
    <dxf>
      <font>
        <name val="Calibri"/>
        <color rgb="00B7770D"/>
        <sz val="10"/>
      </font>
      <fill>
        <patternFill patternType="solid">
          <fgColor rgb="00FDEBD0"/>
        </patternFill>
      </fill>
    </dxf>
    <dxf>
      <font>
        <name val="Calibri"/>
        <i val="1"/>
        <color rgb="0095A5A6"/>
        <sz val="10"/>
      </font>
      <fill>
        <patternFill patternType="solid">
          <fgColor rgb="00EB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49542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E8FA3"/>
    <outlinePr summaryBelow="1" summaryRight="1"/>
    <pageSetUpPr/>
  </sheetPr>
  <dimension ref="A1:AM1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4" customWidth="1" min="3" max="3"/>
    <col width="16" customWidth="1" min="4" max="4"/>
    <col width="13" customWidth="1" min="5" max="5"/>
    <col width="17" customWidth="1" min="6" max="6"/>
    <col width="28" customWidth="1" min="7" max="7"/>
  </cols>
  <sheetData>
    <row r="1" ht="70" customHeight="1">
      <c r="A1" s="1" t="inlineStr">
        <is>
          <t>[ Logo do Cliente ]</t>
        </is>
      </c>
      <c r="E1" s="2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</row>
    <row r="2" ht="32" customHeight="1">
      <c r="A2" s="4" t="inlineStr">
        <is>
          <t>Playbook de Onboarding  —  Efcaz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</row>
    <row r="3" ht="22" customHeight="1">
      <c r="A3" s="5" t="inlineStr">
        <is>
          <t xml:space="preserve">Empresa:  </t>
        </is>
      </c>
      <c r="E3" s="5" t="inlineStr">
        <is>
          <t xml:space="preserve">CS Specialist:  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</row>
    <row r="4" ht="22" customHeight="1">
      <c r="A4" s="5" t="inlineStr">
        <is>
          <t xml:space="preserve">Participantes do cliente:  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</row>
    <row r="5" ht="28" customHeight="1">
      <c r="A5" s="5" t="inlineStr">
        <is>
          <t>Progresso Geral do Onboarding</t>
        </is>
      </c>
      <c r="C5" s="6">
        <f>IFERROR((COUNTIF(D9:D17,"Concluído")+COUNTIF(D19:D25,"Concluído")+COUNTIF(D27:D32,"Concluído")+COUNTIF(D34:D40,"Concluído")+COUNTIF(D42:D46,"Concluído")+COUNTIF(D48:D52,"Concluído")+COUNTIF(D54:D59,"Concluído"))/(45-(COUNTIF(D9:D17,"N/A")+COUNTIF(D19:D25,"N/A")+COUNTIF(D27:D32,"N/A")+COUNTIF(D34:D40,"N/A")+COUNTIF(D42:D46,"N/A")+COUNTIF(D48:D52,"N/A")+COUNTIF(D54:D59,"N/A"))),0)</f>
        <v/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</row>
    <row r="6" ht="6" customHeight="1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</row>
    <row r="7" ht="20" customHeight="1">
      <c r="A7" s="7" t="inlineStr">
        <is>
          <t>Data</t>
        </is>
      </c>
      <c r="B7" s="7" t="inlineStr">
        <is>
          <t>Atividade</t>
        </is>
      </c>
      <c r="C7" s="7" t="inlineStr">
        <is>
          <t>Responsável</t>
        </is>
      </c>
      <c r="D7" s="7" t="inlineStr">
        <is>
          <t>Status</t>
        </is>
      </c>
      <c r="E7" s="7" t="inlineStr">
        <is>
          <t>Prazo</t>
        </is>
      </c>
      <c r="F7" s="7" t="inlineStr">
        <is>
          <t>Encontro</t>
        </is>
      </c>
      <c r="G7" s="7" t="inlineStr">
        <is>
          <t>Observações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</row>
    <row r="8" ht="22" customHeight="1">
      <c r="A8" s="8" t="n"/>
      <c r="B8" s="9" t="inlineStr">
        <is>
          <t>1º Encontro  —  Boas-vindas</t>
        </is>
      </c>
      <c r="D8" s="10">
        <f>IFERROR(COUNTIF(D9:D17,"Concluído")/(9-COUNTIF(D9:D17,"N/A")),0)</f>
        <v/>
      </c>
      <c r="E8" s="11" t="inlineStr">
        <is>
          <t>1º Enc.</t>
        </is>
      </c>
      <c r="G8" s="12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</row>
    <row r="9" ht="36" customHeight="1">
      <c r="A9" s="13" t="n"/>
      <c r="B9" s="14" t="inlineStr">
        <is>
          <t>Licenças contratadas e objetivos do onboarding apresentados ao cliente</t>
        </is>
      </c>
      <c r="C9" s="15" t="inlineStr">
        <is>
          <t>CS Specialist</t>
        </is>
      </c>
      <c r="D9" s="15" t="inlineStr">
        <is>
          <t>Pendente</t>
        </is>
      </c>
      <c r="E9" s="16" t="inlineStr"/>
      <c r="F9" s="17" t="inlineStr">
        <is>
          <t>1º Enc.</t>
        </is>
      </c>
      <c r="G9" s="18" t="inlineStr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</row>
    <row r="10" ht="36" customHeight="1">
      <c r="A10" s="13" t="n"/>
      <c r="B10" s="19" t="inlineStr">
        <is>
          <t>Cronograma proposto apresentado e validado com o cliente</t>
        </is>
      </c>
      <c r="C10" s="20" t="inlineStr">
        <is>
          <t>CS Specialist</t>
        </is>
      </c>
      <c r="D10" s="20" t="inlineStr">
        <is>
          <t>Pendente</t>
        </is>
      </c>
      <c r="E10" s="21" t="inlineStr"/>
      <c r="F10" s="22" t="inlineStr">
        <is>
          <t>1º Enc.</t>
        </is>
      </c>
      <c r="G10" s="23" t="inlineStr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</row>
    <row r="11" ht="36" customHeight="1">
      <c r="A11" s="13" t="n"/>
      <c r="B11" s="14" t="inlineStr">
        <is>
          <t>Indicadores de sucesso mapeados (processo atual, tempo de homologação, auditorias, riscos, KPIs esperados)</t>
        </is>
      </c>
      <c r="C11" s="15" t="inlineStr">
        <is>
          <t>CS Specialist</t>
        </is>
      </c>
      <c r="D11" s="15" t="inlineStr">
        <is>
          <t>Pendente</t>
        </is>
      </c>
      <c r="E11" s="16" t="inlineStr"/>
      <c r="F11" s="17" t="inlineStr">
        <is>
          <t>1º Enc.</t>
        </is>
      </c>
      <c r="G11" s="18" t="inlineStr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52" customHeight="1">
      <c r="A12" s="13" t="n"/>
      <c r="B12" s="19" t="inlineStr">
        <is>
          <t>Análise inicial realizada (migração de fornecedores, integração com outros sistemas, áreas usuárias, categorização)</t>
        </is>
      </c>
      <c r="C12" s="20" t="inlineStr">
        <is>
          <t>CS Specialist</t>
        </is>
      </c>
      <c r="D12" s="20" t="inlineStr">
        <is>
          <t>Pendente</t>
        </is>
      </c>
      <c r="E12" s="21" t="inlineStr"/>
      <c r="F12" s="22" t="inlineStr">
        <is>
          <t>1º Enc.</t>
        </is>
      </c>
      <c r="G12" s="23" t="inlineStr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</row>
    <row r="13" ht="20" customHeight="1">
      <c r="A13" s="13" t="n"/>
      <c r="B13" s="14" t="inlineStr">
        <is>
          <t>Nome do ambiente e logomarca validados com o cliente</t>
        </is>
      </c>
      <c r="C13" s="15" t="inlineStr">
        <is>
          <t>CS Specialist</t>
        </is>
      </c>
      <c r="D13" s="15" t="inlineStr">
        <is>
          <t>Pendente</t>
        </is>
      </c>
      <c r="E13" s="16" t="inlineStr"/>
      <c r="F13" s="17" t="inlineStr">
        <is>
          <t>1º Enc.</t>
        </is>
      </c>
      <c r="G13" s="18" t="inlineStr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</row>
    <row r="14" ht="20" customHeight="1">
      <c r="A14" s="13" t="n"/>
      <c r="B14" s="19" t="inlineStr">
        <is>
          <t>Ponto focal do projeto definido pelo cliente</t>
        </is>
      </c>
      <c r="C14" s="20" t="inlineStr">
        <is>
          <t>CS + Cliente</t>
        </is>
      </c>
      <c r="D14" s="20" t="inlineStr">
        <is>
          <t>Pendente</t>
        </is>
      </c>
      <c r="E14" s="21" t="inlineStr"/>
      <c r="F14" s="22" t="inlineStr">
        <is>
          <t>1º Enc.</t>
        </is>
      </c>
      <c r="G14" s="23" t="inlineStr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</row>
    <row r="15" ht="20" customHeight="1">
      <c r="A15" s="13" t="n"/>
      <c r="B15" s="14" t="inlineStr">
        <is>
          <t>Grupo de WhatsApp criado com o ponto focal</t>
        </is>
      </c>
      <c r="C15" s="15" t="inlineStr">
        <is>
          <t>CS Specialist</t>
        </is>
      </c>
      <c r="D15" s="15" t="inlineStr">
        <is>
          <t>Pendente</t>
        </is>
      </c>
      <c r="E15" s="16" t="inlineStr"/>
      <c r="F15" s="17" t="inlineStr">
        <is>
          <t>1º Enc.</t>
        </is>
      </c>
      <c r="G15" s="18" t="inlineStr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</row>
    <row r="16" ht="36" customHeight="1">
      <c r="A16" s="13" t="n"/>
      <c r="B16" s="19" t="inlineStr">
        <is>
          <t>Planilha de Usuários enviada ao cliente para preenchimento até o próximo encontro</t>
        </is>
      </c>
      <c r="C16" s="20" t="inlineStr">
        <is>
          <t>CS Specialist</t>
        </is>
      </c>
      <c r="D16" s="20" t="inlineStr">
        <is>
          <t>Pendente</t>
        </is>
      </c>
      <c r="E16" s="21" t="inlineStr"/>
      <c r="F16" s="22" t="inlineStr">
        <is>
          <t>1º Enc.</t>
        </is>
      </c>
      <c r="G16" s="23" t="inlineStr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</row>
    <row r="17" ht="36" customHeight="1">
      <c r="A17" s="24" t="n"/>
      <c r="B17" s="14" t="inlineStr">
        <is>
          <t>E-mail de boas-vindas enviado com gravação, cronograma e próximos passos</t>
        </is>
      </c>
      <c r="C17" s="15" t="inlineStr">
        <is>
          <t>CS Specialist</t>
        </is>
      </c>
      <c r="D17" s="15" t="inlineStr">
        <is>
          <t>Pendente</t>
        </is>
      </c>
      <c r="E17" s="16" t="inlineStr"/>
      <c r="F17" s="17" t="inlineStr">
        <is>
          <t>1º Enc.</t>
        </is>
      </c>
      <c r="G17" s="18" t="inlineStr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</row>
    <row r="18" ht="22" customHeight="1">
      <c r="A18" s="8">
        <f>IF($A$8="","",$A$8+7)</f>
        <v/>
      </c>
      <c r="B18" s="9" t="inlineStr">
        <is>
          <t>2º Encontro  —  Fluxo de Homologação e Análise de Cadastro</t>
        </is>
      </c>
      <c r="D18" s="10">
        <f>IFERROR(COUNTIF(D19:D25,"Concluído")/(7-COUNTIF(D19:D25,"N/A")),0)</f>
        <v/>
      </c>
      <c r="E18" s="11" t="inlineStr">
        <is>
          <t>2º Enc.</t>
        </is>
      </c>
      <c r="G18" s="12" t="inlineStr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</row>
    <row r="19" ht="52" customHeight="1">
      <c r="A19" s="13" t="n"/>
      <c r="B19" s="14" t="inlineStr">
        <is>
          <t>Fluxo de homologação demonstrado no Módulo Solicitação (cadastro do fornecedor, envio e aprovação de documentos)</t>
        </is>
      </c>
      <c r="C19" s="15" t="inlineStr">
        <is>
          <t>CS Specialist</t>
        </is>
      </c>
      <c r="D19" s="15" t="inlineStr">
        <is>
          <t>Pendente</t>
        </is>
      </c>
      <c r="E19" s="16" t="inlineStr"/>
      <c r="F19" s="17" t="inlineStr">
        <is>
          <t>2º Enc.</t>
        </is>
      </c>
      <c r="G19" s="18" t="inlineStr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</row>
    <row r="20" ht="36" customHeight="1">
      <c r="A20" s="13" t="n"/>
      <c r="B20" s="19" t="inlineStr">
        <is>
          <t>Categorização de fornecedores e grupos de fornecimento definidos com o cliente</t>
        </is>
      </c>
      <c r="C20" s="20" t="inlineStr">
        <is>
          <t>CS + Cliente</t>
        </is>
      </c>
      <c r="D20" s="20" t="inlineStr">
        <is>
          <t>Pendente</t>
        </is>
      </c>
      <c r="E20" s="21" t="inlineStr"/>
      <c r="F20" s="22" t="inlineStr">
        <is>
          <t>2º Enc.</t>
        </is>
      </c>
      <c r="G20" s="23" t="inlineStr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</row>
    <row r="21" ht="36" customHeight="1">
      <c r="A21" s="13" t="n"/>
      <c r="B21" s="14" t="inlineStr">
        <is>
          <t>Documentos obrigatórios por categoria/linha de fornecimento definidos</t>
        </is>
      </c>
      <c r="C21" s="15" t="inlineStr">
        <is>
          <t>CS + Cliente</t>
        </is>
      </c>
      <c r="D21" s="15" t="inlineStr">
        <is>
          <t>Pendente</t>
        </is>
      </c>
      <c r="E21" s="16" t="inlineStr"/>
      <c r="F21" s="17" t="inlineStr">
        <is>
          <t>2º Enc.</t>
        </is>
      </c>
      <c r="G21" s="18" t="inlineStr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</row>
    <row r="22" ht="20" customHeight="1">
      <c r="A22" s="13" t="n"/>
      <c r="B22" s="19" t="inlineStr">
        <is>
          <t>Necessidade de migração de fornecedores confirmada</t>
        </is>
      </c>
      <c r="C22" s="20" t="inlineStr">
        <is>
          <t>CS + Cliente</t>
        </is>
      </c>
      <c r="D22" s="20" t="inlineStr">
        <is>
          <t>Pendente</t>
        </is>
      </c>
      <c r="E22" s="21" t="inlineStr"/>
      <c r="F22" s="22" t="inlineStr">
        <is>
          <t>2º Enc.</t>
        </is>
      </c>
      <c r="G22" s="23" t="inlineStr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</row>
    <row r="23" ht="20" customHeight="1">
      <c r="A23" s="13" t="n"/>
      <c r="B23" s="14" t="inlineStr">
        <is>
          <t>Interesse em integração com outro sistema avaliado</t>
        </is>
      </c>
      <c r="C23" s="15" t="inlineStr">
        <is>
          <t>CS + Cliente</t>
        </is>
      </c>
      <c r="D23" s="15" t="inlineStr">
        <is>
          <t>Pendente</t>
        </is>
      </c>
      <c r="E23" s="16" t="inlineStr"/>
      <c r="F23" s="17" t="inlineStr">
        <is>
          <t>2º Enc.</t>
        </is>
      </c>
      <c r="G23" s="18" t="inlineStr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</row>
    <row r="24" ht="36" customHeight="1">
      <c r="A24" s="13" t="n"/>
      <c r="B24" s="19" t="inlineStr">
        <is>
          <t>Planilha de Documentos e Linhas de Fornecimento enviada ao cliente</t>
        </is>
      </c>
      <c r="C24" s="20" t="inlineStr">
        <is>
          <t>CS Specialist</t>
        </is>
      </c>
      <c r="D24" s="20" t="inlineStr">
        <is>
          <t>Pendente</t>
        </is>
      </c>
      <c r="E24" s="21" t="inlineStr"/>
      <c r="F24" s="22" t="inlineStr">
        <is>
          <t>2º Enc.</t>
        </is>
      </c>
      <c r="G24" s="23" t="inlineStr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</row>
    <row r="25" ht="36" customHeight="1">
      <c r="A25" s="24" t="n"/>
      <c r="B25" s="14" t="inlineStr">
        <is>
          <t>E-mail de resumo enviado com o que foi definido e próximos passos</t>
        </is>
      </c>
      <c r="C25" s="15" t="inlineStr">
        <is>
          <t>CS Specialist</t>
        </is>
      </c>
      <c r="D25" s="15" t="inlineStr">
        <is>
          <t>Pendente</t>
        </is>
      </c>
      <c r="E25" s="16" t="inlineStr"/>
      <c r="F25" s="17" t="inlineStr">
        <is>
          <t>2º Enc.</t>
        </is>
      </c>
      <c r="G25" s="18" t="inlineStr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</row>
    <row r="26" ht="22" customHeight="1">
      <c r="A26" s="8">
        <f>IF($A$8="","",$A$8+14)</f>
        <v/>
      </c>
      <c r="B26" s="9" t="inlineStr">
        <is>
          <t>3º Encontro  —  Preenchimento de Planilhas</t>
        </is>
      </c>
      <c r="D26" s="10">
        <f>IFERROR(COUNTIF(D27:D32,"Concluído")/(6-COUNTIF(D27:D32,"N/A")),0)</f>
        <v/>
      </c>
      <c r="E26" s="11" t="inlineStr">
        <is>
          <t>3º Enc.</t>
        </is>
      </c>
      <c r="G26" s="12" t="inlineStr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</row>
    <row r="27" ht="36" customHeight="1">
      <c r="A27" s="13" t="n"/>
      <c r="B27" s="14" t="inlineStr">
        <is>
          <t>Planilha de Usuários revisada e validada junto ao cliente</t>
        </is>
      </c>
      <c r="C27" s="15" t="inlineStr">
        <is>
          <t>CS + Cliente</t>
        </is>
      </c>
      <c r="D27" s="15" t="inlineStr">
        <is>
          <t>Pendente</t>
        </is>
      </c>
      <c r="E27" s="16" t="inlineStr"/>
      <c r="F27" s="17" t="inlineStr">
        <is>
          <t>3º Enc.</t>
        </is>
      </c>
      <c r="G27" s="18" t="inlineStr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</row>
    <row r="28" ht="36" customHeight="1">
      <c r="A28" s="13" t="n"/>
      <c r="B28" s="19" t="inlineStr">
        <is>
          <t>Planilha de Documentos e Linhas de Fornecimento revisada e validada</t>
        </is>
      </c>
      <c r="C28" s="20" t="inlineStr">
        <is>
          <t>CS + Cliente</t>
        </is>
      </c>
      <c r="D28" s="20" t="inlineStr">
        <is>
          <t>Pendente</t>
        </is>
      </c>
      <c r="E28" s="21" t="inlineStr"/>
      <c r="F28" s="22" t="inlineStr">
        <is>
          <t>3º Enc.</t>
        </is>
      </c>
      <c r="G28" s="23" t="inlineStr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</row>
    <row r="29" ht="36" customHeight="1">
      <c r="A29" s="13" t="n"/>
      <c r="B29" s="14" t="inlineStr">
        <is>
          <t>Planilha de Migração de Fornecedores explicada e entregue ao cliente para preenchimento</t>
        </is>
      </c>
      <c r="C29" s="15" t="inlineStr">
        <is>
          <t>CS Specialist</t>
        </is>
      </c>
      <c r="D29" s="15" t="inlineStr">
        <is>
          <t>Pendente</t>
        </is>
      </c>
      <c r="E29" s="16" t="inlineStr"/>
      <c r="F29" s="17" t="inlineStr">
        <is>
          <t>3º Enc.</t>
        </is>
      </c>
      <c r="G29" s="18" t="inlineStr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</row>
    <row r="30" ht="36" customHeight="1">
      <c r="A30" s="13" t="n"/>
      <c r="B30" s="19" t="inlineStr">
        <is>
          <t>Planilha de Migração de Terceiros explicada e entregue ao cliente (se aplicável)</t>
        </is>
      </c>
      <c r="C30" s="20" t="inlineStr">
        <is>
          <t>CS Specialist</t>
        </is>
      </c>
      <c r="D30" s="20" t="inlineStr">
        <is>
          <t>Pendente</t>
        </is>
      </c>
      <c r="E30" s="21" t="inlineStr"/>
      <c r="F30" s="22" t="inlineStr">
        <is>
          <t>3º Enc.</t>
        </is>
      </c>
      <c r="G30" s="23" t="inlineStr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</row>
    <row r="31" ht="36" customHeight="1">
      <c r="A31" s="13" t="n"/>
      <c r="B31" s="14" t="inlineStr">
        <is>
          <t>Modelos de Avaliações Internas (PDF dos questionários) explicados e prazo de entrega acordado</t>
        </is>
      </c>
      <c r="C31" s="15" t="inlineStr">
        <is>
          <t>CS + Cliente</t>
        </is>
      </c>
      <c r="D31" s="15" t="inlineStr">
        <is>
          <t>Pendente</t>
        </is>
      </c>
      <c r="E31" s="16" t="inlineStr"/>
      <c r="F31" s="17" t="inlineStr">
        <is>
          <t>3º Enc.</t>
        </is>
      </c>
      <c r="G31" s="18" t="inlineStr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</row>
    <row r="32" ht="36" customHeight="1">
      <c r="A32" s="24" t="n"/>
      <c r="B32" s="19" t="inlineStr">
        <is>
          <t>Prazo para devolução de todas as planilhas acordado formalmente</t>
        </is>
      </c>
      <c r="C32" s="20" t="inlineStr">
        <is>
          <t>CS + Cliente</t>
        </is>
      </c>
      <c r="D32" s="20" t="inlineStr">
        <is>
          <t>Pendente</t>
        </is>
      </c>
      <c r="E32" s="21" t="inlineStr"/>
      <c r="F32" s="22" t="inlineStr">
        <is>
          <t>3º Enc.</t>
        </is>
      </c>
      <c r="G32" s="23" t="inlineStr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</row>
    <row r="33" ht="22" customHeight="1">
      <c r="A33" s="8">
        <f>IF($A$8="","",$A$8+21)</f>
        <v/>
      </c>
      <c r="B33" s="9" t="inlineStr">
        <is>
          <t>4º Encontro  —  Configurações da Base, Relatórios e Outros</t>
        </is>
      </c>
      <c r="D33" s="10">
        <f>IFERROR(COUNTIF(D34:D40,"Concluído")/(7-COUNTIF(D34:D40,"N/A")),0)</f>
        <v/>
      </c>
      <c r="E33" s="11" t="inlineStr">
        <is>
          <t>4º Enc.</t>
        </is>
      </c>
      <c r="G33" s="12" t="inlineStr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</row>
    <row r="34" ht="36" customHeight="1">
      <c r="A34" s="13" t="n"/>
      <c r="B34" s="14" t="inlineStr">
        <is>
          <t>Usuários, perfis e permissões por área criados na plataforma</t>
        </is>
      </c>
      <c r="C34" s="15" t="inlineStr">
        <is>
          <t>CS Specialist</t>
        </is>
      </c>
      <c r="D34" s="15" t="inlineStr">
        <is>
          <t>Pendente</t>
        </is>
      </c>
      <c r="E34" s="16" t="inlineStr"/>
      <c r="F34" s="17" t="inlineStr">
        <is>
          <t>4º Enc.</t>
        </is>
      </c>
      <c r="G34" s="18" t="inlineStr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</row>
    <row r="35" ht="36" customHeight="1">
      <c r="A35" s="13" t="n"/>
      <c r="B35" s="19" t="inlineStr">
        <is>
          <t>Logomarca do cliente configurada na plataforma (via Suporte Efcaz)</t>
        </is>
      </c>
      <c r="C35" s="20" t="inlineStr">
        <is>
          <t>CS Specialist</t>
        </is>
      </c>
      <c r="D35" s="20" t="inlineStr">
        <is>
          <t>Pendente</t>
        </is>
      </c>
      <c r="E35" s="21" t="inlineStr"/>
      <c r="F35" s="22" t="inlineStr">
        <is>
          <t>4º Enc.</t>
        </is>
      </c>
      <c r="G35" s="23" t="inlineStr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</row>
    <row r="36" ht="36" customHeight="1">
      <c r="A36" s="13" t="n"/>
      <c r="B36" s="14" t="inlineStr">
        <is>
          <t>Tipos de documentos e linhas de fornecimento parametrizados conforme planilha validada</t>
        </is>
      </c>
      <c r="C36" s="15" t="inlineStr">
        <is>
          <t>CS Specialist</t>
        </is>
      </c>
      <c r="D36" s="15" t="inlineStr">
        <is>
          <t>Pendente</t>
        </is>
      </c>
      <c r="E36" s="16" t="inlineStr"/>
      <c r="F36" s="17" t="inlineStr">
        <is>
          <t>4º Enc.</t>
        </is>
      </c>
      <c r="G36" s="18" t="inlineStr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</row>
    <row r="37" ht="36" customHeight="1">
      <c r="A37" s="13" t="n"/>
      <c r="B37" s="19" t="inlineStr">
        <is>
          <t>Módulo Buscas Automáticas configurado com as certidões contratadas (FGTS, CND Federal, Estadual, CNDT etc.)</t>
        </is>
      </c>
      <c r="C37" s="20" t="inlineStr">
        <is>
          <t>CS Specialist</t>
        </is>
      </c>
      <c r="D37" s="20" t="inlineStr">
        <is>
          <t>Pendente</t>
        </is>
      </c>
      <c r="E37" s="21" t="inlineStr"/>
      <c r="F37" s="22" t="inlineStr">
        <is>
          <t>4º Enc.</t>
        </is>
      </c>
      <c r="G37" s="23" t="inlineStr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</row>
    <row r="38" ht="36" customHeight="1">
      <c r="A38" s="13" t="n"/>
      <c r="B38" s="14" t="inlineStr">
        <is>
          <t>Notificações e alertas automáticos de vencimento configurados</t>
        </is>
      </c>
      <c r="C38" s="15" t="inlineStr">
        <is>
          <t>CS Specialist</t>
        </is>
      </c>
      <c r="D38" s="15" t="inlineStr">
        <is>
          <t>Pendente</t>
        </is>
      </c>
      <c r="E38" s="16" t="inlineStr"/>
      <c r="F38" s="17" t="inlineStr">
        <is>
          <t>4º Enc.</t>
        </is>
      </c>
      <c r="G38" s="18" t="inlineStr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</row>
    <row r="39" ht="36" customHeight="1">
      <c r="A39" s="13" t="n"/>
      <c r="B39" s="19" t="inlineStr">
        <is>
          <t>Importação de fornecedores realizada na plataforma (se planilha entregue)</t>
        </is>
      </c>
      <c r="C39" s="20" t="inlineStr">
        <is>
          <t>CS Specialist</t>
        </is>
      </c>
      <c r="D39" s="20" t="inlineStr">
        <is>
          <t>Pendente</t>
        </is>
      </c>
      <c r="E39" s="21" t="inlineStr"/>
      <c r="F39" s="22" t="inlineStr">
        <is>
          <t>4º Enc.</t>
        </is>
      </c>
      <c r="G39" s="23" t="inlineStr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</row>
    <row r="40" ht="20" customHeight="1">
      <c r="A40" s="24" t="n"/>
      <c r="B40" s="14" t="inlineStr">
        <is>
          <t>Relatórios gerenciais apresentados ao cliente</t>
        </is>
      </c>
      <c r="C40" s="15" t="inlineStr">
        <is>
          <t>CS Specialist</t>
        </is>
      </c>
      <c r="D40" s="15" t="inlineStr">
        <is>
          <t>Pendente</t>
        </is>
      </c>
      <c r="E40" s="16" t="inlineStr"/>
      <c r="F40" s="17" t="inlineStr">
        <is>
          <t>4º Enc.</t>
        </is>
      </c>
      <c r="G40" s="18" t="inlineStr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</row>
    <row r="41" ht="22" customHeight="1">
      <c r="A41" s="8">
        <f>IF($A$8="","",$A$8+28)</f>
        <v/>
      </c>
      <c r="B41" s="9" t="inlineStr">
        <is>
          <t>5º Encontro  —  Prática Assistida</t>
        </is>
      </c>
      <c r="D41" s="10">
        <f>IFERROR(COUNTIF(D42:D46,"Concluído")/(5-COUNTIF(D42:D46,"N/A")),0)</f>
        <v/>
      </c>
      <c r="E41" s="11" t="inlineStr">
        <is>
          <t>5º Enc.</t>
        </is>
      </c>
      <c r="G41" s="12" t="inlineStr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</row>
    <row r="42" ht="36" customHeight="1">
      <c r="A42" s="13" t="n"/>
      <c r="B42" s="14" t="inlineStr">
        <is>
          <t>Fluxo completo do Módulo Solicitação executado pelo cliente com acompanhamento do CS</t>
        </is>
      </c>
      <c r="C42" s="15" t="inlineStr">
        <is>
          <t>CS + Cliente</t>
        </is>
      </c>
      <c r="D42" s="15" t="inlineStr">
        <is>
          <t>Pendente</t>
        </is>
      </c>
      <c r="E42" s="16" t="inlineStr"/>
      <c r="F42" s="17" t="inlineStr">
        <is>
          <t>5º Enc.</t>
        </is>
      </c>
      <c r="G42" s="18" t="inlineStr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</row>
    <row r="43" ht="36" customHeight="1">
      <c r="A43" s="13" t="n"/>
      <c r="B43" s="19" t="inlineStr">
        <is>
          <t>Fluxo de aprovação e reprovação de documentos executado pelo cliente</t>
        </is>
      </c>
      <c r="C43" s="20" t="inlineStr">
        <is>
          <t>CS + Cliente</t>
        </is>
      </c>
      <c r="D43" s="20" t="inlineStr">
        <is>
          <t>Pendente</t>
        </is>
      </c>
      <c r="E43" s="21" t="inlineStr"/>
      <c r="F43" s="22" t="inlineStr">
        <is>
          <t>5º Enc.</t>
        </is>
      </c>
      <c r="G43" s="23" t="inlineStr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</row>
    <row r="44" ht="36" customHeight="1">
      <c r="A44" s="13" t="n"/>
      <c r="B44" s="14" t="inlineStr">
        <is>
          <t>Buscas automáticas executadas e resultado validado com o cliente</t>
        </is>
      </c>
      <c r="C44" s="15" t="inlineStr">
        <is>
          <t>CS + Cliente</t>
        </is>
      </c>
      <c r="D44" s="15" t="inlineStr">
        <is>
          <t>Pendente</t>
        </is>
      </c>
      <c r="E44" s="16" t="inlineStr"/>
      <c r="F44" s="17" t="inlineStr">
        <is>
          <t>5º Enc.</t>
        </is>
      </c>
      <c r="G44" s="18" t="inlineStr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</row>
    <row r="45" ht="52" customHeight="1">
      <c r="A45" s="13" t="n"/>
      <c r="B45" s="19" t="inlineStr">
        <is>
          <t>Cliente orientado sobre como convidar fornecedores a acessar o portal (responsabilidade do cliente e do Suporte Efcaz)</t>
        </is>
      </c>
      <c r="C45" s="20" t="inlineStr">
        <is>
          <t>CS Specialist</t>
        </is>
      </c>
      <c r="D45" s="20" t="inlineStr">
        <is>
          <t>Pendente</t>
        </is>
      </c>
      <c r="E45" s="21" t="inlineStr"/>
      <c r="F45" s="22" t="inlineStr">
        <is>
          <t>5º Enc.</t>
        </is>
      </c>
      <c r="G45" s="23" t="inlineStr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</row>
    <row r="46" ht="20" customHeight="1">
      <c r="A46" s="24" t="n"/>
      <c r="B46" s="14" t="inlineStr">
        <is>
          <t>Dúvidas da equipe operacional sanadas</t>
        </is>
      </c>
      <c r="C46" s="15" t="inlineStr">
        <is>
          <t>CS Specialist</t>
        </is>
      </c>
      <c r="D46" s="15" t="inlineStr">
        <is>
          <t>Pendente</t>
        </is>
      </c>
      <c r="E46" s="16" t="inlineStr"/>
      <c r="F46" s="17" t="inlineStr">
        <is>
          <t>5º Enc.</t>
        </is>
      </c>
      <c r="G46" s="18" t="inlineStr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</row>
    <row r="47" ht="22" customHeight="1">
      <c r="A47" s="8">
        <f>IF($A$8="","",$A$8+35)</f>
        <v/>
      </c>
      <c r="B47" s="9" t="inlineStr">
        <is>
          <t>6º Encontro  —  Avaliações, Ocorrências e Gestão de Terceiros</t>
        </is>
      </c>
      <c r="D47" s="10">
        <f>IFERROR(COUNTIF(D48:D52,"Concluído")/(5-COUNTIF(D48:D52,"N/A")),0)</f>
        <v/>
      </c>
      <c r="E47" s="11" t="inlineStr">
        <is>
          <t>6º Enc.</t>
        </is>
      </c>
      <c r="G47" s="12" t="inlineStr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</row>
    <row r="48" ht="36" customHeight="1">
      <c r="A48" s="13" t="n"/>
      <c r="B48" s="14" t="inlineStr">
        <is>
          <t>Módulo Avaliação configurado com os modelos de formulário entregues pelo cliente</t>
        </is>
      </c>
      <c r="C48" s="15" t="inlineStr">
        <is>
          <t>CS Specialist</t>
        </is>
      </c>
      <c r="D48" s="15" t="inlineStr">
        <is>
          <t>Pendente</t>
        </is>
      </c>
      <c r="E48" s="16" t="inlineStr"/>
      <c r="F48" s="17" t="inlineStr">
        <is>
          <t>6º Enc.</t>
        </is>
      </c>
      <c r="G48" s="18" t="inlineStr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</row>
    <row r="49" ht="36" customHeight="1">
      <c r="A49" s="13" t="n"/>
      <c r="B49" s="19" t="inlineStr">
        <is>
          <t>Fluxo de criação, aplicação e leitura de avaliação de fornecedor demonstrado ao cliente</t>
        </is>
      </c>
      <c r="C49" s="20" t="inlineStr">
        <is>
          <t>CS Specialist</t>
        </is>
      </c>
      <c r="D49" s="20" t="inlineStr">
        <is>
          <t>Pendente</t>
        </is>
      </c>
      <c r="E49" s="21" t="inlineStr"/>
      <c r="F49" s="22" t="inlineStr">
        <is>
          <t>6º Enc.</t>
        </is>
      </c>
      <c r="G49" s="23" t="inlineStr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</row>
    <row r="50" ht="36" customHeight="1">
      <c r="A50" s="13" t="n"/>
      <c r="B50" s="14" t="inlineStr">
        <is>
          <t>Módulo Ocorrências apresentado e fluxo de notificação ao fornecedor demonstrado</t>
        </is>
      </c>
      <c r="C50" s="15" t="inlineStr">
        <is>
          <t>CS Specialist</t>
        </is>
      </c>
      <c r="D50" s="15" t="inlineStr">
        <is>
          <t>Pendente</t>
        </is>
      </c>
      <c r="E50" s="16" t="inlineStr"/>
      <c r="F50" s="17" t="inlineStr">
        <is>
          <t>6º Enc.</t>
        </is>
      </c>
      <c r="G50" s="18" t="inlineStr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</row>
    <row r="51" ht="36" customHeight="1">
      <c r="A51" s="13" t="n"/>
      <c r="B51" s="19" t="inlineStr">
        <is>
          <t>Módulo Terceiros configurado e migração realizada (se contratado e planilha entregue)</t>
        </is>
      </c>
      <c r="C51" s="20" t="inlineStr">
        <is>
          <t>CS Specialist</t>
        </is>
      </c>
      <c r="D51" s="20" t="inlineStr">
        <is>
          <t>Pendente</t>
        </is>
      </c>
      <c r="E51" s="21" t="inlineStr"/>
      <c r="F51" s="22" t="inlineStr">
        <is>
          <t>6º Enc.</t>
        </is>
      </c>
      <c r="G51" s="23" t="inlineStr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</row>
    <row r="52" ht="36" customHeight="1">
      <c r="A52" s="24" t="n"/>
      <c r="B52" s="14" t="inlineStr">
        <is>
          <t>Planilhas pendentes verificadas — prazo final de entrega reforçado</t>
        </is>
      </c>
      <c r="C52" s="15" t="inlineStr">
        <is>
          <t>CS + Cliente</t>
        </is>
      </c>
      <c r="D52" s="15" t="inlineStr">
        <is>
          <t>Pendente</t>
        </is>
      </c>
      <c r="E52" s="16" t="inlineStr"/>
      <c r="F52" s="17" t="inlineStr">
        <is>
          <t>6º Enc.</t>
        </is>
      </c>
      <c r="G52" s="18" t="inlineStr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</row>
    <row r="53" ht="22" customHeight="1">
      <c r="A53" s="8">
        <f>IF($A$8="","",$A$8+42)</f>
        <v/>
      </c>
      <c r="B53" s="9" t="inlineStr">
        <is>
          <t>7º Encontro  —  Check-In Final, Dúvidas e Próximos Passos</t>
        </is>
      </c>
      <c r="D53" s="10">
        <f>IFERROR(COUNTIF(D54:D59,"Concluído")/(6-COUNTIF(D54:D59,"N/A")),0)</f>
        <v/>
      </c>
      <c r="E53" s="11" t="inlineStr">
        <is>
          <t>7º Enc.</t>
        </is>
      </c>
      <c r="G53" s="12" t="inlineStr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</row>
    <row r="54" ht="36" customHeight="1">
      <c r="A54" s="13" t="n"/>
      <c r="B54" s="14" t="inlineStr">
        <is>
          <t>Critérios de sucesso do onboarding avaliados formalmente com o cliente</t>
        </is>
      </c>
      <c r="C54" s="15" t="inlineStr">
        <is>
          <t>CS Specialist</t>
        </is>
      </c>
      <c r="D54" s="15" t="inlineStr">
        <is>
          <t>Pendente</t>
        </is>
      </c>
      <c r="E54" s="16" t="inlineStr"/>
      <c r="F54" s="17" t="inlineStr">
        <is>
          <t>7º Enc.</t>
        </is>
      </c>
      <c r="G54" s="18" t="inlineStr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</row>
    <row r="55" ht="36" customHeight="1">
      <c r="A55" s="13" t="n"/>
      <c r="B55" s="19" t="inlineStr">
        <is>
          <t>Pendências finais identificadas e plano de ação com prazo definido</t>
        </is>
      </c>
      <c r="C55" s="20" t="inlineStr">
        <is>
          <t>CS + Cliente</t>
        </is>
      </c>
      <c r="D55" s="20" t="inlineStr">
        <is>
          <t>Pendente</t>
        </is>
      </c>
      <c r="E55" s="21" t="inlineStr"/>
      <c r="F55" s="22" t="inlineStr">
        <is>
          <t>7º Enc.</t>
        </is>
      </c>
      <c r="G55" s="23" t="inlineStr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</row>
    <row r="56" ht="20" customHeight="1">
      <c r="A56" s="13" t="n"/>
      <c r="B56" s="14" t="inlineStr">
        <is>
          <t>Go-live confirmado com o cliente</t>
        </is>
      </c>
      <c r="C56" s="15" t="inlineStr">
        <is>
          <t>CS + Cliente</t>
        </is>
      </c>
      <c r="D56" s="15" t="inlineStr">
        <is>
          <t>Pendente</t>
        </is>
      </c>
      <c r="E56" s="16" t="inlineStr"/>
      <c r="F56" s="17" t="inlineStr">
        <is>
          <t>7º Enc.</t>
        </is>
      </c>
      <c r="G56" s="18" t="inlineStr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</row>
    <row r="57" ht="36" customHeight="1">
      <c r="A57" s="13" t="n"/>
      <c r="B57" s="19" t="inlineStr">
        <is>
          <t>Rotina de ongoing apresentada ao cliente (check-ins mensais, QBR trimestral)</t>
        </is>
      </c>
      <c r="C57" s="20" t="inlineStr">
        <is>
          <t>CS Specialist</t>
        </is>
      </c>
      <c r="D57" s="20" t="inlineStr">
        <is>
          <t>Pendente</t>
        </is>
      </c>
      <c r="E57" s="21" t="inlineStr"/>
      <c r="F57" s="22" t="inlineStr">
        <is>
          <t>7º Enc.</t>
        </is>
      </c>
      <c r="G57" s="23" t="inlineStr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</row>
    <row r="58" ht="36" customHeight="1">
      <c r="A58" s="13" t="n"/>
      <c r="B58" s="14" t="inlineStr">
        <is>
          <t>Gravações e materiais de apoio de todos os encontros compilados e enviados</t>
        </is>
      </c>
      <c r="C58" s="15" t="inlineStr">
        <is>
          <t>CS Specialist</t>
        </is>
      </c>
      <c r="D58" s="15" t="inlineStr">
        <is>
          <t>Pendente</t>
        </is>
      </c>
      <c r="E58" s="16" t="inlineStr"/>
      <c r="F58" s="17" t="inlineStr">
        <is>
          <t>7º Enc.</t>
        </is>
      </c>
      <c r="G58" s="18" t="inlineStr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</row>
    <row r="59" ht="36" customHeight="1">
      <c r="A59" s="24" t="n"/>
      <c r="B59" s="19" t="inlineStr">
        <is>
          <t>Certificado de Onboarding emitido (se critérios atingidos)</t>
        </is>
      </c>
      <c r="C59" s="20" t="inlineStr">
        <is>
          <t>CS Specialist</t>
        </is>
      </c>
      <c r="D59" s="20" t="inlineStr">
        <is>
          <t>Pendente</t>
        </is>
      </c>
      <c r="E59" s="21" t="inlineStr"/>
      <c r="F59" s="22" t="inlineStr">
        <is>
          <t>7º Enc.</t>
        </is>
      </c>
      <c r="G59" s="23" t="inlineStr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</row>
  </sheetData>
  <mergeCells count="29">
    <mergeCell ref="B47:C47"/>
    <mergeCell ref="E33:F33"/>
    <mergeCell ref="A4:G4"/>
    <mergeCell ref="C5:G5"/>
    <mergeCell ref="B18:C18"/>
    <mergeCell ref="E8:F8"/>
    <mergeCell ref="A41:A46"/>
    <mergeCell ref="A26:A32"/>
    <mergeCell ref="B8:C8"/>
    <mergeCell ref="B53:C53"/>
    <mergeCell ref="A53:A59"/>
    <mergeCell ref="A1:D1"/>
    <mergeCell ref="A5:B5"/>
    <mergeCell ref="E3:G3"/>
    <mergeCell ref="A33:A40"/>
    <mergeCell ref="E26:F26"/>
    <mergeCell ref="A47:A52"/>
    <mergeCell ref="A18:A25"/>
    <mergeCell ref="B33:C33"/>
    <mergeCell ref="E41:F41"/>
    <mergeCell ref="A3:D3"/>
    <mergeCell ref="A2:G2"/>
    <mergeCell ref="E53:F53"/>
    <mergeCell ref="B26:C26"/>
    <mergeCell ref="B41:C41"/>
    <mergeCell ref="E18:F18"/>
    <mergeCell ref="A8:A17"/>
    <mergeCell ref="E47:F47"/>
    <mergeCell ref="E1:G1"/>
  </mergeCells>
  <conditionalFormatting sqref="B9:G59">
    <cfRule type="expression" priority="1" dxfId="0">
      <formula>=$D9="Concluído"</formula>
    </cfRule>
    <cfRule type="expression" priority="2" dxfId="1">
      <formula>=$D9="Em andamento"</formula>
    </cfRule>
    <cfRule type="expression" priority="3" dxfId="2">
      <formula>=$D9="N/A"</formula>
    </cfRule>
  </conditionalFormatting>
  <dataValidations count="1">
    <dataValidation sqref="D9:D17 D19:D25 D27:D32 D34:D40 D42:D46 D48:D52 D54:D59" showDropDown="0" showInputMessage="0" showErrorMessage="1" allowBlank="0" errorTitle="Status inválido" error="Escolha: Pendente, Em andamento ou Concluído" type="list">
      <formula1>"Pendente,Em andamento,Concluído,N/A"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2026-05-13T21:28:27Z</dcterms:created>
  <dcterms:modified xmlns:dcterms="http://purl.org/dc/terms/" xmlns:xsi="http://www.w3.org/2001/XMLSchema-instance" xsi:type="dcterms:W3CDTF">2026-05-13T21:28:27Z</dcterms:modified>
</cp:coreProperties>
</file>