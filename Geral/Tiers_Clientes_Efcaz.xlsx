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s de Clientes" sheetId="1" state="visible" r:id="rId1"/>
    <sheet xmlns:r="http://schemas.openxmlformats.org/officeDocument/2006/relationships" name="Cadência por Ti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37">
    <font>
      <name val="Calibri"/>
      <family val="2"/>
      <color theme="1"/>
      <sz val="11"/>
      <scheme val="minor"/>
    </font>
    <font>
      <name val="Calibri"/>
      <i val="1"/>
      <color rgb="00A8D8E0"/>
      <sz val="9"/>
    </font>
    <font>
      <name val="Calibri"/>
      <b val="1"/>
      <color rgb="00FFFFFF"/>
      <sz val="14"/>
    </font>
    <font>
      <name val="Calibri"/>
      <i val="1"/>
      <color rgb="000A6A7A"/>
      <sz val="8"/>
    </font>
    <font>
      <name val="Calibri"/>
      <b val="1"/>
      <color rgb="000A6A7A"/>
      <sz val="9"/>
    </font>
    <font>
      <name val="Calibri"/>
      <b val="1"/>
      <color rgb="000A6A7A"/>
      <sz val="10"/>
    </font>
    <font>
      <name val="Calibri"/>
      <b val="1"/>
      <color rgb="000E8FA3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FFFFFF"/>
      <sz val="9"/>
    </font>
    <font>
      <name val="Calibri"/>
      <sz val="10"/>
    </font>
    <font>
      <name val="Calibri"/>
      <color rgb="00000000"/>
      <sz val="10"/>
    </font>
    <font>
      <name val="Calibri"/>
      <b val="1"/>
      <color rgb="001A5C2E"/>
      <sz val="9"/>
    </font>
    <font>
      <name val="Calibri"/>
      <color rgb="00666666"/>
      <sz val="9"/>
    </font>
    <font>
      <name val="Calibri"/>
      <b val="1"/>
      <color rgb="001A5276"/>
      <sz val="9"/>
    </font>
    <font>
      <name val="Calibri"/>
      <b val="1"/>
      <color rgb="0021618C"/>
      <sz val="9"/>
    </font>
    <font>
      <name val="Calibri"/>
      <b val="1"/>
      <color rgb="00616A6B"/>
      <sz val="9"/>
    </font>
    <font>
      <name val="Calibri"/>
      <b val="1"/>
      <color rgb="009A7D0A"/>
      <sz val="10"/>
    </font>
    <font>
      <name val="Calibri"/>
      <b val="1"/>
      <color rgb="001A5C2E"/>
      <sz val="10"/>
    </font>
    <font>
      <name val="Calibri"/>
      <color rgb="001A5C2E"/>
      <sz val="9"/>
    </font>
    <font>
      <name val="Calibri"/>
      <b val="1"/>
      <color rgb="001A5C2E"/>
      <sz val="12"/>
    </font>
    <font>
      <name val="Calibri"/>
      <sz val="9"/>
    </font>
    <font>
      <name val="Calibri"/>
      <b val="1"/>
      <color rgb="001A5C2E"/>
      <sz val="11"/>
    </font>
    <font>
      <name val="Calibri"/>
      <b val="1"/>
      <color rgb="001A5276"/>
      <sz val="10"/>
    </font>
    <font>
      <name val="Calibri"/>
      <color rgb="001A5276"/>
      <sz val="9"/>
    </font>
    <font>
      <name val="Calibri"/>
      <b val="1"/>
      <color rgb="001A5276"/>
      <sz val="12"/>
    </font>
    <font>
      <name val="Calibri"/>
      <b val="1"/>
      <color rgb="001A5276"/>
      <sz val="11"/>
    </font>
    <font>
      <name val="Calibri"/>
      <b val="1"/>
      <color rgb="0021618C"/>
      <sz val="10"/>
    </font>
    <font>
      <name val="Calibri"/>
      <color rgb="0021618C"/>
      <sz val="9"/>
    </font>
    <font>
      <name val="Calibri"/>
      <b val="1"/>
      <color rgb="0021618C"/>
      <sz val="12"/>
    </font>
    <font>
      <name val="Calibri"/>
      <b val="1"/>
      <color rgb="0021618C"/>
      <sz val="11"/>
    </font>
    <font>
      <name val="Calibri"/>
      <b val="1"/>
      <color rgb="00616A6B"/>
      <sz val="10"/>
    </font>
    <font>
      <name val="Calibri"/>
      <color rgb="00616A6B"/>
      <sz val="9"/>
    </font>
    <font>
      <name val="Calibri"/>
      <b val="1"/>
      <color rgb="00616A6B"/>
      <sz val="12"/>
    </font>
    <font>
      <name val="Calibri"/>
      <b val="1"/>
      <color rgb="00616A6B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0A6A7A"/>
      </patternFill>
    </fill>
    <fill>
      <patternFill patternType="solid">
        <fgColor rgb="000E8FA3"/>
      </patternFill>
    </fill>
    <fill>
      <patternFill patternType="solid">
        <fgColor rgb="00EBF5FB"/>
      </patternFill>
    </fill>
    <fill>
      <patternFill patternType="solid">
        <fgColor rgb="0027AE60"/>
      </patternFill>
    </fill>
    <fill>
      <patternFill patternType="solid">
        <fgColor rgb="00D5F5E3"/>
      </patternFill>
    </fill>
    <fill>
      <patternFill patternType="solid">
        <fgColor rgb="00F5F6FA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5DADE2"/>
      </patternFill>
    </fill>
    <fill>
      <patternFill patternType="solid">
        <fgColor rgb="00EAF2F8"/>
      </patternFill>
    </fill>
    <fill>
      <patternFill patternType="solid">
        <fgColor rgb="0095A5A6"/>
      </patternFill>
    </fill>
    <fill>
      <patternFill patternType="solid">
        <fgColor rgb="00F8F9F9"/>
      </patternFill>
    </fill>
    <fill>
      <patternFill patternType="solid">
        <fgColor rgb="00FEF9E7"/>
      </patternFill>
    </fill>
    <fill>
      <patternFill patternType="solid">
        <fgColor rgb="00E0F4F7"/>
      </patternFill>
    </fill>
  </fills>
  <borders count="3">
    <border>
      <left/>
      <right/>
      <top/>
      <bottom/>
      <diagonal/>
    </border>
    <border/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15" borderId="1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164" fontId="11" fillId="6" borderId="2" applyAlignment="1" pivotButton="0" quotePrefix="0" xfId="0">
      <alignment horizontal="right" vertical="center"/>
    </xf>
    <xf numFmtId="0" fontId="12" fillId="6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164" fontId="11" fillId="7" borderId="2" applyAlignment="1" pivotButton="0" quotePrefix="0" xfId="0">
      <alignment horizontal="right" vertical="center"/>
    </xf>
    <xf numFmtId="0" fontId="12" fillId="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/>
    </xf>
    <xf numFmtId="164" fontId="7" fillId="8" borderId="2" applyAlignment="1" pivotButton="0" quotePrefix="0" xfId="0">
      <alignment horizontal="right" vertical="center"/>
    </xf>
    <xf numFmtId="0" fontId="8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164" fontId="11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left" vertical="center"/>
    </xf>
    <xf numFmtId="164" fontId="7" fillId="10" borderId="2" applyAlignment="1" pivotButton="0" quotePrefix="0" xfId="0">
      <alignment horizontal="right" vertical="center"/>
    </xf>
    <xf numFmtId="0" fontId="8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164" fontId="11" fillId="11" borderId="2" applyAlignment="1" pivotButton="0" quotePrefix="0" xfId="0">
      <alignment horizontal="right" vertical="center"/>
    </xf>
    <xf numFmtId="0" fontId="15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left" vertical="center"/>
    </xf>
    <xf numFmtId="164" fontId="7" fillId="12" borderId="2" applyAlignment="1" pivotButton="0" quotePrefix="0" xfId="0">
      <alignment horizontal="right" vertical="center"/>
    </xf>
    <xf numFmtId="0" fontId="8" fillId="12" borderId="2" applyAlignment="1" pivotButton="0" quotePrefix="0" xfId="0">
      <alignment horizontal="center" vertical="center"/>
    </xf>
    <xf numFmtId="0" fontId="9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center"/>
    </xf>
    <xf numFmtId="164" fontId="11" fillId="13" borderId="2" applyAlignment="1" pivotButton="0" quotePrefix="0" xfId="0">
      <alignment horizontal="right" vertical="center"/>
    </xf>
    <xf numFmtId="0" fontId="16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center" vertical="center"/>
    </xf>
    <xf numFmtId="0" fontId="17" fillId="14" borderId="0" applyAlignment="1" pivotButton="0" quotePrefix="0" xfId="0">
      <alignment horizontal="left" vertical="center"/>
    </xf>
    <xf numFmtId="0" fontId="18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164" fontId="18" fillId="6" borderId="2" applyAlignment="1" pivotButton="0" quotePrefix="0" xfId="0">
      <alignment horizontal="right" vertical="center"/>
    </xf>
    <xf numFmtId="0" fontId="21" fillId="6" borderId="2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22" fillId="6" borderId="2" applyAlignment="1" pivotButton="0" quotePrefix="0" xfId="0">
      <alignment horizontal="center" vertical="center"/>
    </xf>
    <xf numFmtId="0" fontId="23" fillId="9" borderId="2" applyAlignment="1" pivotButton="0" quotePrefix="0" xfId="0">
      <alignment horizontal="left" vertical="center"/>
    </xf>
    <xf numFmtId="0" fontId="24" fillId="9" borderId="2" applyAlignment="1" pivotButton="0" quotePrefix="0" xfId="0">
      <alignment horizontal="center" vertical="center"/>
    </xf>
    <xf numFmtId="0" fontId="25" fillId="9" borderId="2" applyAlignment="1" pivotButton="0" quotePrefix="0" xfId="0">
      <alignment horizontal="center" vertical="center"/>
    </xf>
    <xf numFmtId="164" fontId="23" fillId="9" borderId="2" applyAlignment="1" pivotButton="0" quotePrefix="0" xfId="0">
      <alignment horizontal="right" vertical="center"/>
    </xf>
    <xf numFmtId="0" fontId="21" fillId="9" borderId="2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6" fillId="9" borderId="2" applyAlignment="1" pivotButton="0" quotePrefix="0" xfId="0">
      <alignment horizontal="center" vertical="center"/>
    </xf>
    <xf numFmtId="0" fontId="27" fillId="11" borderId="2" applyAlignment="1" pivotButton="0" quotePrefix="0" xfId="0">
      <alignment horizontal="left" vertical="center"/>
    </xf>
    <xf numFmtId="0" fontId="28" fillId="11" borderId="2" applyAlignment="1" pivotButton="0" quotePrefix="0" xfId="0">
      <alignment horizontal="center" vertical="center"/>
    </xf>
    <xf numFmtId="0" fontId="29" fillId="11" borderId="2" applyAlignment="1" pivotButton="0" quotePrefix="0" xfId="0">
      <alignment horizontal="center" vertical="center"/>
    </xf>
    <xf numFmtId="164" fontId="27" fillId="11" borderId="2" applyAlignment="1" pivotButton="0" quotePrefix="0" xfId="0">
      <alignment horizontal="right" vertical="center"/>
    </xf>
    <xf numFmtId="0" fontId="21" fillId="11" borderId="2" applyAlignment="1" pivotButton="0" quotePrefix="0" xfId="0">
      <alignment horizontal="center" vertical="center"/>
    </xf>
    <xf numFmtId="0" fontId="27" fillId="11" borderId="2" applyAlignment="1" pivotButton="0" quotePrefix="0" xfId="0">
      <alignment horizontal="center" vertical="center"/>
    </xf>
    <xf numFmtId="0" fontId="30" fillId="11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0" fontId="32" fillId="13" borderId="2" applyAlignment="1" pivotButton="0" quotePrefix="0" xfId="0">
      <alignment horizontal="center" vertical="center"/>
    </xf>
    <xf numFmtId="0" fontId="33" fillId="13" borderId="2" applyAlignment="1" pivotButton="0" quotePrefix="0" xfId="0">
      <alignment horizontal="center" vertical="center"/>
    </xf>
    <xf numFmtId="164" fontId="31" fillId="13" borderId="2" applyAlignment="1" pivotButton="0" quotePrefix="0" xfId="0">
      <alignment horizontal="right" vertical="center"/>
    </xf>
    <xf numFmtId="0" fontId="2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center" vertical="center"/>
    </xf>
    <xf numFmtId="0" fontId="34" fillId="13" borderId="2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6" fillId="2" borderId="2" applyAlignment="1" pivotButton="0" quotePrefix="0" xfId="0">
      <alignment horizontal="center" vertical="center"/>
    </xf>
    <xf numFmtId="164" fontId="36" fillId="2" borderId="2" applyAlignment="1" pivotButton="0" quotePrefix="0" xfId="0">
      <alignment horizontal="right" vertical="center"/>
    </xf>
    <xf numFmtId="0" fontId="10" fillId="2" borderId="2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1304925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1304925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E8FA3"/>
    <outlinePr summaryBelow="1" summaryRight="1"/>
    <pageSetUpPr/>
  </sheetPr>
  <dimension ref="A1:AM9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6" customWidth="1" min="3" max="3"/>
    <col width="10" customWidth="1" min="4" max="4"/>
    <col width="38" customWidth="1" min="5" max="5"/>
  </cols>
  <sheetData>
    <row r="1" ht="68" customHeight="1">
      <c r="A1" s="1" t="inlineStr">
        <is>
          <t>Gestão de Carteira  —  Uso Interno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 ht="30" customHeight="1">
      <c r="A2" s="3" t="inlineStr">
        <is>
          <t>Classificação de Clientes por Tier — Carteira SRM 2026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 ht="16" customHeight="1">
      <c r="A3" s="4" t="inlineStr">
        <is>
          <t>Critérios: Tier A ≥ R$5.000/mês  |  Tier B+ R$3.500–R$4.999 (ou estratégico)  |  Tier B R$2.000–R$3.499  |  Tier C &lt; R$2.000  |  Contratos anuais convertidos em MRR (÷ 12)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</row>
    <row r="4" ht="20" customHeight="1">
      <c r="A4" s="5">
        <f>"Tier A: "&amp;COUNTIF($D$8:$D$5000,"Tier A")&amp;" cl  |  Tier B+: "&amp;COUNTIF($D$8:$D$5000,"Tier B+")&amp;" cl  |  Tier B: "&amp;COUNTIF($D$8:$D$5000,"Tier B")&amp;" cl  |  Tier C: "&amp;COUNTIF($D$8:$D$5000,"Tier C")&amp;" cl  |  Total: "&amp;COUNTIF($D$8:$D$5000,"Tier*")&amp;" clientes"</f>
        <v/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</row>
    <row r="5" ht="22" customHeight="1">
      <c r="A5" s="6" t="inlineStr">
        <is>
          <t>MRR Total Carteira SRM</t>
        </is>
      </c>
      <c r="C5" s="7">
        <f>SUMIF($D$9:$D$5000,"Tier*",$C$9:$C$5000)</f>
        <v/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</row>
    <row r="6" ht="6" customHeight="1"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</row>
    <row r="7" ht="20" customHeight="1">
      <c r="A7" s="8" t="inlineStr">
        <is>
          <t>Nº</t>
        </is>
      </c>
      <c r="B7" s="8" t="inlineStr">
        <is>
          <t>Cliente</t>
        </is>
      </c>
      <c r="C7" s="8" t="inlineStr">
        <is>
          <t>MRR / mês</t>
        </is>
      </c>
      <c r="D7" s="8" t="inlineStr">
        <is>
          <t>Tier</t>
        </is>
      </c>
      <c r="E7" s="8" t="inlineStr">
        <is>
          <t>Observação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</row>
    <row r="8" ht="20" customHeight="1">
      <c r="A8" s="9" t="inlineStr">
        <is>
          <t>Tier A — Contas Estratégicas</t>
        </is>
      </c>
      <c r="C8" s="10">
        <f>SUMIF($D$9:$D$5000,"Tier A",$C$9:$C$5000)</f>
        <v/>
      </c>
      <c r="D8" s="11" t="inlineStr">
        <is>
          <t>9 clientes</t>
        </is>
      </c>
      <c r="E8" s="12" t="inlineStr">
        <is>
          <t>MRR ≥ R$ 5.000/mês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</row>
    <row r="9" ht="19" customHeight="1">
      <c r="A9" s="13" t="n">
        <v>1</v>
      </c>
      <c r="B9" s="14" t="inlineStr">
        <is>
          <t>Alpargatas</t>
        </is>
      </c>
      <c r="C9" s="15" t="n">
        <v>16666</v>
      </c>
      <c r="D9" s="16" t="inlineStr">
        <is>
          <t>Tier A</t>
        </is>
      </c>
      <c r="E9" s="17" t="inlineStr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</row>
    <row r="10" ht="34" customHeight="1">
      <c r="A10" s="18" t="n">
        <v>2</v>
      </c>
      <c r="B10" s="19" t="inlineStr">
        <is>
          <t>Supera Promo Serviços Temporários (Nestlé)</t>
        </is>
      </c>
      <c r="C10" s="20" t="n">
        <v>10302</v>
      </c>
      <c r="D10" s="21" t="inlineStr">
        <is>
          <t>Tier A</t>
        </is>
      </c>
      <c r="E10" s="22" t="inlineStr">
        <is>
          <t>Abril com R$44k pontual; MRR recorrente = R$10.302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</row>
    <row r="11" ht="19" customHeight="1">
      <c r="A11" s="13" t="n">
        <v>3</v>
      </c>
      <c r="B11" s="14" t="inlineStr">
        <is>
          <t>Zurich Airport Brasil</t>
        </is>
      </c>
      <c r="C11" s="15" t="n">
        <v>8916.67</v>
      </c>
      <c r="D11" s="16" t="inlineStr">
        <is>
          <t>Tier A</t>
        </is>
      </c>
      <c r="E11" s="17" t="inlineStr">
        <is>
          <t>Contrato anual R$107.000 ÷ 12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</row>
    <row r="12" ht="19" customHeight="1">
      <c r="A12" s="18" t="n">
        <v>4</v>
      </c>
      <c r="B12" s="19" t="inlineStr">
        <is>
          <t>Vinci Airports</t>
        </is>
      </c>
      <c r="C12" s="20" t="n">
        <v>7750</v>
      </c>
      <c r="D12" s="21" t="inlineStr">
        <is>
          <t>Tier A</t>
        </is>
      </c>
      <c r="E12" s="22" t="inlineStr">
        <is>
          <t>Contrato anual R$93.000 ÷ 12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</row>
    <row r="13" ht="19" customHeight="1">
      <c r="A13" s="13" t="n">
        <v>5</v>
      </c>
      <c r="B13" s="14" t="inlineStr">
        <is>
          <t>CSU Digital</t>
        </is>
      </c>
      <c r="C13" s="15" t="n">
        <v>7000</v>
      </c>
      <c r="D13" s="16" t="inlineStr">
        <is>
          <t>Tier A</t>
        </is>
      </c>
      <c r="E13" s="17" t="inlineStr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</row>
    <row r="14" ht="19" customHeight="1">
      <c r="A14" s="18" t="n">
        <v>6</v>
      </c>
      <c r="B14" s="19" t="inlineStr">
        <is>
          <t>Bom Futuro Agrícola</t>
        </is>
      </c>
      <c r="C14" s="20" t="n">
        <v>6500</v>
      </c>
      <c r="D14" s="21" t="inlineStr">
        <is>
          <t>Tier A</t>
        </is>
      </c>
      <c r="E14" s="22" t="inlineStr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</row>
    <row r="15" ht="19" customHeight="1">
      <c r="A15" s="13" t="n">
        <v>7</v>
      </c>
      <c r="B15" s="14" t="inlineStr">
        <is>
          <t>ECTX S/A – Eucatex</t>
        </is>
      </c>
      <c r="C15" s="15" t="n">
        <v>5509.4</v>
      </c>
      <c r="D15" s="16" t="inlineStr">
        <is>
          <t>Tier A</t>
        </is>
      </c>
      <c r="E15" s="17" t="inlineStr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</row>
    <row r="16" ht="19" customHeight="1">
      <c r="A16" s="18" t="n">
        <v>8</v>
      </c>
      <c r="B16" s="19" t="inlineStr">
        <is>
          <t>Unimed do Brasil (SOU)</t>
        </is>
      </c>
      <c r="C16" s="20" t="n">
        <v>5007.2</v>
      </c>
      <c r="D16" s="21" t="inlineStr">
        <is>
          <t>Tier A</t>
        </is>
      </c>
      <c r="E16" s="22" t="inlineStr">
        <is>
          <t>Unimed Brasil e Unimed Sou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</row>
    <row r="17" ht="34" customHeight="1">
      <c r="A17" s="13" t="n">
        <v>9</v>
      </c>
      <c r="B17" s="14" t="inlineStr">
        <is>
          <t>PDV Marketing Promocional (Nestlé)</t>
        </is>
      </c>
      <c r="C17" s="15" t="n">
        <v>1350.36</v>
      </c>
      <c r="D17" s="16" t="inlineStr">
        <is>
          <t>Tier A</t>
        </is>
      </c>
      <c r="E17" s="17" t="inlineStr">
        <is>
          <t>Grupo Nestlé — tratado como Tier A junto com Supera Promo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</row>
    <row r="18" ht="20" customHeight="1">
      <c r="A18" s="23" t="inlineStr">
        <is>
          <t>Tier B+ — Alto Valor</t>
        </is>
      </c>
      <c r="C18" s="24">
        <f>SUMIF($D$9:$D$5000,"Tier B+",$C$9:$C$5000)</f>
        <v/>
      </c>
      <c r="D18" s="25" t="inlineStr">
        <is>
          <t>9 clientes</t>
        </is>
      </c>
      <c r="E18" s="26" t="inlineStr">
        <is>
          <t>MRR R$ 3.500–R$ 4.999/mês (ou estratégico)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</row>
    <row r="19" ht="19" customHeight="1">
      <c r="A19" s="27" t="n">
        <v>1</v>
      </c>
      <c r="B19" s="28" t="inlineStr">
        <is>
          <t>Afonso Franca Engenharia</t>
        </is>
      </c>
      <c r="C19" s="29" t="n">
        <v>4800</v>
      </c>
      <c r="D19" s="30" t="inlineStr">
        <is>
          <t>Tier B+</t>
        </is>
      </c>
      <c r="E19" s="31" t="inlineStr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</row>
    <row r="20" ht="19" customHeight="1">
      <c r="A20" s="18" t="n">
        <v>2</v>
      </c>
      <c r="B20" s="19" t="inlineStr">
        <is>
          <t>DATA Engenharia</t>
        </is>
      </c>
      <c r="C20" s="20" t="n">
        <v>4700</v>
      </c>
      <c r="D20" s="32" t="inlineStr">
        <is>
          <t>Tier B+</t>
        </is>
      </c>
      <c r="E20" s="22" t="inlineStr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</row>
    <row r="21" ht="19" customHeight="1">
      <c r="A21" s="27" t="n">
        <v>3</v>
      </c>
      <c r="B21" s="28" t="inlineStr">
        <is>
          <t>Geistlich Pharma do Brasil</t>
        </is>
      </c>
      <c r="C21" s="29" t="n">
        <v>4634</v>
      </c>
      <c r="D21" s="30" t="inlineStr">
        <is>
          <t>Tier B+</t>
        </is>
      </c>
      <c r="E21" s="31" t="inlineStr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</row>
    <row r="22" ht="19" customHeight="1">
      <c r="A22" s="18" t="n">
        <v>4</v>
      </c>
      <c r="B22" s="19" t="inlineStr">
        <is>
          <t>Associação Adventista Norte Brasileira</t>
        </is>
      </c>
      <c r="C22" s="20" t="n">
        <v>4309</v>
      </c>
      <c r="D22" s="32" t="inlineStr">
        <is>
          <t>Tier B+</t>
        </is>
      </c>
      <c r="E22" s="22" t="inlineStr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</row>
    <row r="23" ht="19" customHeight="1">
      <c r="A23" s="27" t="n">
        <v>5</v>
      </c>
      <c r="B23" s="28" t="inlineStr">
        <is>
          <t>Bunker One Combustíveis e Lubrificantes</t>
        </is>
      </c>
      <c r="C23" s="29" t="n">
        <v>3839</v>
      </c>
      <c r="D23" s="30" t="inlineStr">
        <is>
          <t>Tier B+</t>
        </is>
      </c>
      <c r="E23" s="31" t="inlineStr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</row>
    <row r="24" ht="79" customHeight="1">
      <c r="A24" s="18" t="n">
        <v>6</v>
      </c>
      <c r="B24" s="19" t="inlineStr">
        <is>
          <t>ISG – Instituto Sócrates Guanaes</t>
        </is>
      </c>
      <c r="C24" s="20" t="n">
        <v>3784.99</v>
      </c>
      <c r="D24" s="32" t="inlineStr">
        <is>
          <t>Tier B+</t>
        </is>
      </c>
      <c r="E24" s="22" t="inlineStr">
        <is>
          <t>7 unidades: AME Pariquera-Açu · Amb. Med. Esp. SJC · CEAPSOL · Hosp. Doenças Tropicais · Hosp. Reg. SJC · Hosp. Reg. Litoral Norte · Hosp. Reg. Jorge Rossmann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</row>
    <row r="25" ht="19" customHeight="1">
      <c r="A25" s="27" t="n">
        <v>7</v>
      </c>
      <c r="B25" s="28" t="inlineStr">
        <is>
          <t>Dock Brasil Engenharia e Serviços</t>
        </is>
      </c>
      <c r="C25" s="29" t="n">
        <v>3644</v>
      </c>
      <c r="D25" s="30" t="inlineStr">
        <is>
          <t>Tier B+</t>
        </is>
      </c>
      <c r="E25" s="31" t="inlineStr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</row>
    <row r="26" ht="34" customHeight="1">
      <c r="A26" s="18" t="n">
        <v>8</v>
      </c>
      <c r="B26" s="19" t="inlineStr">
        <is>
          <t>Cielo</t>
        </is>
      </c>
      <c r="C26" s="20" t="n">
        <v>3450.24</v>
      </c>
      <c r="D26" s="32" t="inlineStr">
        <is>
          <t>Tier B+</t>
        </is>
      </c>
      <c r="E26" s="22" t="inlineStr">
        <is>
          <t>Contrato anual R$41.402,88 ÷ 12 — mantido em B+ estrategicamente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</row>
    <row r="27" ht="34" customHeight="1">
      <c r="A27" s="27" t="n">
        <v>9</v>
      </c>
      <c r="B27" s="28" t="inlineStr">
        <is>
          <t>Cebrace</t>
        </is>
      </c>
      <c r="C27" s="29" t="n">
        <v>2255.87</v>
      </c>
      <c r="D27" s="30" t="inlineStr">
        <is>
          <t>Tier B+</t>
        </is>
      </c>
      <c r="E27" s="31" t="inlineStr">
        <is>
          <t>Conglomerado de grande porte — elevado estrategicamente para B+</t>
        </is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</row>
    <row r="28" ht="20" customHeight="1">
      <c r="A28" s="33" t="inlineStr">
        <is>
          <t>Tier B — Médio Valor</t>
        </is>
      </c>
      <c r="C28" s="34">
        <f>SUMIF($D$9:$D$5000,"Tier B",$C$9:$C$5000)</f>
        <v/>
      </c>
      <c r="D28" s="35" t="inlineStr">
        <is>
          <t>12 clientes</t>
        </is>
      </c>
      <c r="E28" s="36" t="inlineStr">
        <is>
          <t>MRR R$ 2.000–R$ 3.499/mês</t>
        </is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</row>
    <row r="29" ht="19" customHeight="1">
      <c r="A29" s="37" t="n">
        <v>1</v>
      </c>
      <c r="B29" s="38" t="inlineStr">
        <is>
          <t>Fundição Alumetaf</t>
        </is>
      </c>
      <c r="C29" s="39" t="n">
        <v>3300</v>
      </c>
      <c r="D29" s="40" t="inlineStr">
        <is>
          <t>Tier B</t>
        </is>
      </c>
      <c r="E29" s="41" t="inlineStr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</row>
    <row r="30" ht="19" customHeight="1">
      <c r="A30" s="18" t="n">
        <v>2</v>
      </c>
      <c r="B30" s="19" t="inlineStr">
        <is>
          <t>Soluções Terceirizadas</t>
        </is>
      </c>
      <c r="C30" s="20" t="n">
        <v>3200</v>
      </c>
      <c r="D30" s="42" t="inlineStr">
        <is>
          <t>Tier B</t>
        </is>
      </c>
      <c r="E30" s="22" t="inlineStr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</row>
    <row r="31" ht="19" customHeight="1">
      <c r="A31" s="37" t="n">
        <v>3</v>
      </c>
      <c r="B31" s="38" t="inlineStr">
        <is>
          <t>Norskan Offshore</t>
        </is>
      </c>
      <c r="C31" s="39" t="n">
        <v>2699</v>
      </c>
      <c r="D31" s="40" t="inlineStr">
        <is>
          <t>Tier B</t>
        </is>
      </c>
      <c r="E31" s="41" t="inlineStr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</row>
    <row r="32" ht="19" customHeight="1">
      <c r="A32" s="18" t="n">
        <v>4</v>
      </c>
      <c r="B32" s="19" t="inlineStr">
        <is>
          <t>Sabará Químicos e Ingredientes</t>
        </is>
      </c>
      <c r="C32" s="20" t="n">
        <v>2504.3</v>
      </c>
      <c r="D32" s="42" t="inlineStr">
        <is>
          <t>Tier B</t>
        </is>
      </c>
      <c r="E32" s="22" t="inlineStr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</row>
    <row r="33" ht="19" customHeight="1">
      <c r="A33" s="37" t="n">
        <v>5</v>
      </c>
      <c r="B33" s="38" t="inlineStr">
        <is>
          <t>Premier Pet</t>
        </is>
      </c>
      <c r="C33" s="39" t="n">
        <v>2500</v>
      </c>
      <c r="D33" s="40" t="inlineStr">
        <is>
          <t>Tier B</t>
        </is>
      </c>
      <c r="E33" s="41" t="inlineStr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</row>
    <row r="34" ht="19" customHeight="1">
      <c r="A34" s="18" t="n">
        <v>6</v>
      </c>
      <c r="B34" s="19" t="inlineStr">
        <is>
          <t>Tarkett</t>
        </is>
      </c>
      <c r="C34" s="20" t="n">
        <v>2500</v>
      </c>
      <c r="D34" s="42" t="inlineStr">
        <is>
          <t>Tier B</t>
        </is>
      </c>
      <c r="E34" s="22" t="inlineStr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</row>
    <row r="35" ht="19" customHeight="1">
      <c r="A35" s="37" t="n">
        <v>7</v>
      </c>
      <c r="B35" s="38" t="inlineStr">
        <is>
          <t>Federação Paulista de Futebol</t>
        </is>
      </c>
      <c r="C35" s="39" t="n">
        <v>2450</v>
      </c>
      <c r="D35" s="40" t="inlineStr">
        <is>
          <t>Tier B</t>
        </is>
      </c>
      <c r="E35" s="41" t="inlineStr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</row>
    <row r="36" ht="19" customHeight="1">
      <c r="A36" s="18" t="n">
        <v>8</v>
      </c>
      <c r="B36" s="19" t="inlineStr">
        <is>
          <t>Transportes Cavalinho</t>
        </is>
      </c>
      <c r="C36" s="20" t="n">
        <v>2385</v>
      </c>
      <c r="D36" s="42" t="inlineStr">
        <is>
          <t>Tier B</t>
        </is>
      </c>
      <c r="E36" s="22" t="inlineStr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</row>
    <row r="37" ht="19" customHeight="1">
      <c r="A37" s="37" t="n">
        <v>9</v>
      </c>
      <c r="B37" s="38" t="inlineStr">
        <is>
          <t>Pacco</t>
        </is>
      </c>
      <c r="C37" s="39" t="n">
        <v>2309</v>
      </c>
      <c r="D37" s="40" t="inlineStr">
        <is>
          <t>Tier B</t>
        </is>
      </c>
      <c r="E37" s="41" t="inlineStr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</row>
    <row r="38" ht="19" customHeight="1">
      <c r="A38" s="18" t="n">
        <v>10</v>
      </c>
      <c r="B38" s="19" t="inlineStr">
        <is>
          <t>Engesp</t>
        </is>
      </c>
      <c r="C38" s="20" t="n">
        <v>2250</v>
      </c>
      <c r="D38" s="42" t="inlineStr">
        <is>
          <t>Tier B</t>
        </is>
      </c>
      <c r="E38" s="22" t="inlineStr">
        <is>
          <t>Contrato anual R$27.000 ÷ 12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</row>
    <row r="39" ht="19" customHeight="1">
      <c r="A39" s="37" t="n">
        <v>11</v>
      </c>
      <c r="B39" s="38" t="inlineStr">
        <is>
          <t>BRG Suplementos Nutricionais</t>
        </is>
      </c>
      <c r="C39" s="39" t="n">
        <v>2181.92</v>
      </c>
      <c r="D39" s="40" t="inlineStr">
        <is>
          <t>Tier B</t>
        </is>
      </c>
      <c r="E39" s="41" t="inlineStr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</row>
    <row r="40" ht="19" customHeight="1">
      <c r="A40" s="18" t="n">
        <v>12</v>
      </c>
      <c r="B40" s="19" t="inlineStr">
        <is>
          <t>Ponsse Latin America</t>
        </is>
      </c>
      <c r="C40" s="20" t="n">
        <v>2118.62</v>
      </c>
      <c r="D40" s="42" t="inlineStr">
        <is>
          <t>Tier B</t>
        </is>
      </c>
      <c r="E40" s="22" t="inlineStr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</row>
    <row r="41" ht="20" customHeight="1">
      <c r="A41" s="43" t="inlineStr">
        <is>
          <t>Tier C — Menor Ticket</t>
        </is>
      </c>
      <c r="C41" s="44">
        <f>SUMIF($D$9:$D$5000,"Tier C",$C$9:$C$5000)</f>
        <v/>
      </c>
      <c r="D41" s="45" t="inlineStr">
        <is>
          <t>5 clientes</t>
        </is>
      </c>
      <c r="E41" s="46" t="inlineStr">
        <is>
          <t>MRR &lt; R$ 2.000/mês</t>
        </is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</row>
    <row r="42" ht="19" customHeight="1">
      <c r="A42" s="47" t="n">
        <v>1</v>
      </c>
      <c r="B42" s="48" t="inlineStr">
        <is>
          <t>Unimed Campo Grande</t>
        </is>
      </c>
      <c r="C42" s="49" t="n">
        <v>1967.35</v>
      </c>
      <c r="D42" s="50" t="inlineStr">
        <is>
          <t>Tier C</t>
        </is>
      </c>
      <c r="E42" s="51" t="inlineStr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</row>
    <row r="43" ht="19" customHeight="1">
      <c r="A43" s="18" t="n">
        <v>2</v>
      </c>
      <c r="B43" s="19" t="inlineStr">
        <is>
          <t>Asso Marítima Navegação</t>
        </is>
      </c>
      <c r="C43" s="20" t="n">
        <v>1899</v>
      </c>
      <c r="D43" s="52" t="inlineStr">
        <is>
          <t>Tier C</t>
        </is>
      </c>
      <c r="E43" s="22" t="inlineStr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</row>
    <row r="44" ht="19" customHeight="1">
      <c r="A44" s="47" t="n">
        <v>3</v>
      </c>
      <c r="B44" s="48" t="inlineStr">
        <is>
          <t>Amboretto Bombas</t>
        </is>
      </c>
      <c r="C44" s="49" t="n">
        <v>1700</v>
      </c>
      <c r="D44" s="50" t="inlineStr">
        <is>
          <t>Tier C</t>
        </is>
      </c>
      <c r="E44" s="51" t="inlineStr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</row>
    <row r="45" ht="19" customHeight="1">
      <c r="A45" s="18" t="n">
        <v>4</v>
      </c>
      <c r="B45" s="19" t="inlineStr">
        <is>
          <t>Unimed de Dourados</t>
        </is>
      </c>
      <c r="C45" s="20" t="n">
        <v>1672</v>
      </c>
      <c r="D45" s="52" t="inlineStr">
        <is>
          <t>Tier C</t>
        </is>
      </c>
      <c r="E45" s="22" t="inlineStr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</row>
    <row r="46" ht="19" customHeight="1">
      <c r="A46" s="47" t="n">
        <v>5</v>
      </c>
      <c r="B46" s="48" t="inlineStr">
        <is>
          <t>Advtec Indústria e Comércio</t>
        </is>
      </c>
      <c r="C46" s="49" t="n">
        <v>700</v>
      </c>
      <c r="D46" s="50" t="inlineStr">
        <is>
          <t>Tier C</t>
        </is>
      </c>
      <c r="E46" s="51" t="inlineStr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</row>
    <row r="47" ht="8" customHeight="1"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</row>
    <row r="48" ht="20" customHeight="1">
      <c r="A48" s="53" t="inlineStr">
        <is>
          <t>⚠   NÃO RECORRENTE — verificar manualmente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</row>
  </sheetData>
  <mergeCells count="11">
    <mergeCell ref="A4:E4"/>
    <mergeCell ref="A48:E48"/>
    <mergeCell ref="C5:E5"/>
    <mergeCell ref="A2:E2"/>
    <mergeCell ref="A41:B41"/>
    <mergeCell ref="A5:B5"/>
    <mergeCell ref="A28:B28"/>
    <mergeCell ref="A1:E1"/>
    <mergeCell ref="A18:B18"/>
    <mergeCell ref="A8:B8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A6A7A"/>
    <outlinePr summaryBelow="1" summaryRight="1"/>
    <pageSetUpPr/>
  </sheetPr>
  <dimension ref="A1:AM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0" customWidth="1" min="3" max="3"/>
    <col width="16" customWidth="1" min="4" max="4"/>
    <col width="26" customWidth="1" min="5" max="5"/>
    <col width="13" customWidth="1" min="6" max="6"/>
    <col width="24" customWidth="1" min="7" max="7"/>
    <col width="14" customWidth="1" min="8" max="8"/>
    <col width="22" customWidth="1" min="9" max="9"/>
  </cols>
  <sheetData>
    <row r="1" ht="68" customHeight="1">
      <c r="A1" s="1" t="inlineStr">
        <is>
          <t>Modelo de Cadência  —  Uso Interno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 ht="30" customHeight="1">
      <c r="A2" s="3" t="inlineStr">
        <is>
          <t>Modelo de Cadência por Tier — Carteira SRM Efcaz 2026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 ht="16" customHeight="1">
      <c r="A3" s="4" t="inlineStr">
        <is>
          <t>Tier A ≥ R$5.000  |  Tier B+ R$3.500–R$4.999 (ou estratégico)  |  Tier B R$2.000–R$3.499  |  Tier C &lt; R$2.000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</row>
    <row r="4" ht="20" customHeight="1">
      <c r="A4" s="8" t="inlineStr">
        <is>
          <t>Tier</t>
        </is>
      </c>
      <c r="B4" s="8" t="inlineStr">
        <is>
          <t>Faixa MRR</t>
        </is>
      </c>
      <c r="C4" s="8" t="inlineStr">
        <is>
          <t>Clientes</t>
        </is>
      </c>
      <c r="D4" s="8" t="inlineStr">
        <is>
          <t>MRR Total</t>
        </is>
      </c>
      <c r="E4" s="8" t="inlineStr">
        <is>
          <t>Check-in</t>
        </is>
      </c>
      <c r="F4" s="8" t="inlineStr">
        <is>
          <t>QBR</t>
        </is>
      </c>
      <c r="G4" s="8" t="inlineStr">
        <is>
          <t>Canal Principal</t>
        </is>
      </c>
      <c r="H4" s="8" t="inlineStr">
        <is>
          <t>SLA Resposta</t>
        </is>
      </c>
      <c r="I4" s="8" t="inlineStr">
        <is>
          <t>Prazo p/ 1º Contato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</row>
    <row r="5" ht="30" customHeight="1">
      <c r="A5" s="54" t="inlineStr">
        <is>
          <t>A – Estratégico</t>
        </is>
      </c>
      <c r="B5" s="55" t="inlineStr">
        <is>
          <t>≥ R$ 5.000/mês</t>
        </is>
      </c>
      <c r="C5" s="56">
        <f>COUNTIF('Tiers de Clientes'!$D$8:$D$5000,"Tier A")</f>
        <v/>
      </c>
      <c r="D5" s="57">
        <f>SUMIF('Tiers de Clientes'!$D$8:$D$5000,"Tier A",'Tiers de Clientes'!$C$8:$C$5000)</f>
        <v/>
      </c>
      <c r="E5" s="58" t="inlineStr">
        <is>
          <t>Mensal (call / presencial)</t>
        </is>
      </c>
      <c r="F5" s="58" t="inlineStr">
        <is>
          <t>Bimensal</t>
        </is>
      </c>
      <c r="G5" s="58" t="inlineStr">
        <is>
          <t>WhatsApp direto + E-mail</t>
        </is>
      </c>
      <c r="H5" s="59" t="inlineStr">
        <is>
          <t>Mesmo dia</t>
        </is>
      </c>
      <c r="I5" s="60" t="inlineStr">
        <is>
          <t>Maio/26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</row>
    <row r="6" ht="30" customHeight="1">
      <c r="A6" s="61" t="inlineStr">
        <is>
          <t>B+ – Alto Valor</t>
        </is>
      </c>
      <c r="B6" s="62" t="inlineStr">
        <is>
          <t>R$ 3.500–R$ 4.999/mês *</t>
        </is>
      </c>
      <c r="C6" s="63">
        <f>COUNTIF('Tiers de Clientes'!$D$8:$D$5000,"Tier B+")</f>
        <v/>
      </c>
      <c r="D6" s="64">
        <f>SUMIF('Tiers de Clientes'!$D$8:$D$5000,"Tier B+",'Tiers de Clientes'!$C$8:$C$5000)</f>
        <v/>
      </c>
      <c r="E6" s="65" t="inlineStr">
        <is>
          <t>Mensal (call)</t>
        </is>
      </c>
      <c r="F6" s="65" t="inlineStr">
        <is>
          <t>Trimestral</t>
        </is>
      </c>
      <c r="G6" s="65" t="inlineStr">
        <is>
          <t>E-mail + WhatsApp</t>
        </is>
      </c>
      <c r="H6" s="66" t="inlineStr">
        <is>
          <t>24 horas</t>
        </is>
      </c>
      <c r="I6" s="67" t="inlineStr">
        <is>
          <t>Maio/26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</row>
    <row r="7" ht="30" customHeight="1">
      <c r="A7" s="68" t="inlineStr">
        <is>
          <t>B – Médio Valor</t>
        </is>
      </c>
      <c r="B7" s="69" t="inlineStr">
        <is>
          <t>R$ 2.000–R$ 3.499/mês</t>
        </is>
      </c>
      <c r="C7" s="70">
        <f>COUNTIF('Tiers de Clientes'!$D$8:$D$5000,"Tier B")</f>
        <v/>
      </c>
      <c r="D7" s="71">
        <f>SUMIF('Tiers de Clientes'!$D$8:$D$5000,"Tier B",'Tiers de Clientes'!$C$8:$C$5000)</f>
        <v/>
      </c>
      <c r="E7" s="72" t="inlineStr">
        <is>
          <t>Bimensal (call e e-mail)</t>
        </is>
      </c>
      <c r="F7" s="72" t="inlineStr">
        <is>
          <t>Trimestral</t>
        </is>
      </c>
      <c r="G7" s="72" t="inlineStr">
        <is>
          <t>E-mail</t>
        </is>
      </c>
      <c r="H7" s="73" t="inlineStr">
        <is>
          <t>48 horas</t>
        </is>
      </c>
      <c r="I7" s="74" t="inlineStr">
        <is>
          <t>Junho/26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</row>
    <row r="8" ht="30" customHeight="1">
      <c r="A8" s="75" t="inlineStr">
        <is>
          <t>C – Menor Ticket</t>
        </is>
      </c>
      <c r="B8" s="76" t="inlineStr">
        <is>
          <t>&lt; R$ 2.000/mês</t>
        </is>
      </c>
      <c r="C8" s="77">
        <f>COUNTIF('Tiers de Clientes'!$D$8:$D$5000,"Tier C")</f>
        <v/>
      </c>
      <c r="D8" s="78">
        <f>SUMIF('Tiers de Clientes'!$D$8:$D$5000,"Tier C",'Tiers de Clientes'!$C$8:$C$5000)</f>
        <v/>
      </c>
      <c r="E8" s="79" t="inlineStr">
        <is>
          <t>Trimestral (call e e-mail)</t>
        </is>
      </c>
      <c r="F8" s="79" t="inlineStr">
        <is>
          <t>Semestral</t>
        </is>
      </c>
      <c r="G8" s="79" t="inlineStr">
        <is>
          <t>E-mail</t>
        </is>
      </c>
      <c r="H8" s="80" t="inlineStr">
        <is>
          <t>72 horas</t>
        </is>
      </c>
      <c r="I8" s="81" t="inlineStr">
        <is>
          <t>Junho/26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</row>
    <row r="9" ht="26" customHeight="1">
      <c r="A9" s="82" t="inlineStr">
        <is>
          <t>MRR Total Ativo</t>
        </is>
      </c>
      <c r="C9" s="83">
        <f>SUM(C5:C8)</f>
        <v/>
      </c>
      <c r="D9" s="84">
        <f>SUM(D5:D8)</f>
        <v/>
      </c>
      <c r="E9" s="85" t="inlineStr"/>
      <c r="F9" s="85" t="inlineStr"/>
      <c r="G9" s="85" t="inlineStr"/>
      <c r="H9" s="85" t="inlineStr"/>
      <c r="I9" s="85" t="inlineStr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</row>
    <row r="10" ht="16" customHeight="1">
      <c r="A10" s="86" t="inlineStr">
        <is>
          <t>* Tier B+ pode incluir contas classificadas estrategicamente por porte ou potencial, independente da faixa de MRR  |  Prazo p/ 1º Contato = mês limite para completar o primeiro ciclo de contato com todos os clientes do tier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</row>
  </sheetData>
  <mergeCells count="5">
    <mergeCell ref="A2:I2"/>
    <mergeCell ref="A10:I10"/>
    <mergeCell ref="A1:I1"/>
    <mergeCell ref="A3:I3"/>
    <mergeCell ref="A9:B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2026-05-13T18:39:45Z</dcterms:created>
  <dcterms:modified xmlns:dcterms="http://purl.org/dc/terms/" xmlns:xsi="http://www.w3.org/2001/XMLSchema-instance" xsi:type="dcterms:W3CDTF">2026-05-13T18:39:46Z</dcterms:modified>
</cp:coreProperties>
</file>